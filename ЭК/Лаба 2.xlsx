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КУБГАУ\4 курс\(ЭК) Экономическая кибернетика\"/>
    </mc:Choice>
  </mc:AlternateContent>
  <xr:revisionPtr revIDLastSave="0" documentId="13_ncr:1_{F5ABFB05-E51D-4854-BF78-643BDEBD577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S13" i="1"/>
  <c r="AS4" i="1"/>
  <c r="AS3" i="1"/>
  <c r="M3" i="1"/>
  <c r="AG3" i="1"/>
  <c r="AH3" i="1" s="1"/>
  <c r="G12" i="1"/>
  <c r="P12" i="1"/>
  <c r="Y12" i="1"/>
  <c r="AS44" i="1"/>
  <c r="AS45" i="1"/>
  <c r="AS46" i="1"/>
  <c r="AS47" i="1"/>
  <c r="AS48" i="1"/>
  <c r="AS49" i="1"/>
  <c r="AS50" i="1"/>
  <c r="AS51" i="1"/>
  <c r="AS52" i="1"/>
  <c r="AS43" i="1"/>
  <c r="AS34" i="1"/>
  <c r="AS35" i="1"/>
  <c r="AS36" i="1"/>
  <c r="AS37" i="1"/>
  <c r="AS38" i="1"/>
  <c r="AS39" i="1"/>
  <c r="AS40" i="1"/>
  <c r="AS41" i="1"/>
  <c r="AS42" i="1"/>
  <c r="AS33" i="1"/>
  <c r="AS24" i="1"/>
  <c r="AS25" i="1"/>
  <c r="AS26" i="1"/>
  <c r="AS27" i="1"/>
  <c r="AS28" i="1"/>
  <c r="AS29" i="1"/>
  <c r="AS30" i="1"/>
  <c r="AS31" i="1"/>
  <c r="AS32" i="1"/>
  <c r="AS23" i="1"/>
  <c r="AS14" i="1"/>
  <c r="AS15" i="1"/>
  <c r="AS16" i="1"/>
  <c r="AS17" i="1"/>
  <c r="AS18" i="1"/>
  <c r="AS19" i="1"/>
  <c r="AS20" i="1"/>
  <c r="AS21" i="1"/>
  <c r="AS22" i="1"/>
  <c r="AS12" i="1"/>
  <c r="AS5" i="1"/>
  <c r="AS6" i="1"/>
  <c r="AS7" i="1"/>
  <c r="AS8" i="1"/>
  <c r="AS9" i="1"/>
  <c r="AS10" i="1"/>
  <c r="AS11" i="1"/>
  <c r="AZ3" i="1"/>
  <c r="AR3" i="1"/>
  <c r="AF3" i="1"/>
  <c r="AE3" i="1"/>
  <c r="C3" i="1"/>
  <c r="D3" i="1" s="1"/>
  <c r="E3" i="1" s="1"/>
  <c r="F3" i="1" s="1"/>
  <c r="H3" i="1" s="1"/>
  <c r="B4" i="1" s="1"/>
  <c r="U3" i="1"/>
  <c r="V3" i="1" s="1"/>
  <c r="L3" i="1"/>
  <c r="N3" i="1" s="1"/>
  <c r="G13" i="1" l="1"/>
  <c r="O3" i="1"/>
  <c r="P13" i="1" s="1"/>
  <c r="AT3" i="1"/>
  <c r="AU3" i="1" s="1"/>
  <c r="AI3" i="1"/>
  <c r="AL3" i="1" s="1"/>
  <c r="W3" i="1"/>
  <c r="X3" i="1" s="1"/>
  <c r="Y13" i="1" s="1"/>
  <c r="Q3" i="1" l="1"/>
  <c r="AV13" i="1"/>
  <c r="AW3" i="1"/>
  <c r="AQ4" i="1" s="1"/>
  <c r="AJ13" i="1"/>
  <c r="AK3" i="1"/>
  <c r="AD4" i="1" s="1"/>
  <c r="AF4" i="1" s="1"/>
  <c r="AG4" i="1" s="1"/>
  <c r="AI4" i="1" s="1"/>
  <c r="Z3" i="1"/>
  <c r="T4" i="1" s="1"/>
  <c r="K4" i="1"/>
  <c r="AH4" i="1" l="1"/>
  <c r="AL4" i="1" s="1"/>
  <c r="AR4" i="1"/>
  <c r="AE4" i="1"/>
  <c r="C4" i="1"/>
  <c r="D4" i="1" s="1"/>
  <c r="E4" i="1" s="1"/>
  <c r="U4" i="1"/>
  <c r="V4" i="1" s="1"/>
  <c r="L4" i="1"/>
  <c r="M4" i="1" s="1"/>
  <c r="F4" i="1" l="1"/>
  <c r="G14" i="1" s="1"/>
  <c r="O4" i="1"/>
  <c r="P14" i="1" s="1"/>
  <c r="N4" i="1"/>
  <c r="AU4" i="1"/>
  <c r="AT4" i="1"/>
  <c r="X4" i="1"/>
  <c r="W4" i="1"/>
  <c r="AV14" i="1" l="1"/>
  <c r="AW4" i="1"/>
  <c r="AQ5" i="1" s="1"/>
  <c r="H4" i="1"/>
  <c r="B5" i="1" s="1"/>
  <c r="Y14" i="1"/>
  <c r="Z4" i="1"/>
  <c r="T5" i="1" s="1"/>
  <c r="Q4" i="1"/>
  <c r="K5" i="1" s="1"/>
  <c r="L5" i="1" s="1"/>
  <c r="AR5" i="1" l="1"/>
  <c r="C5" i="1"/>
  <c r="D5" i="1" s="1"/>
  <c r="U5" i="1"/>
  <c r="V5" i="1" s="1"/>
  <c r="M5" i="1"/>
  <c r="AU5" i="1" l="1"/>
  <c r="AT5" i="1"/>
  <c r="N5" i="1"/>
  <c r="O5" i="1"/>
  <c r="P15" i="1" s="1"/>
  <c r="F5" i="1"/>
  <c r="E5" i="1"/>
  <c r="X5" i="1"/>
  <c r="W5" i="1"/>
  <c r="AV15" i="1" l="1"/>
  <c r="AW5" i="1"/>
  <c r="AQ6" i="1" s="1"/>
  <c r="G15" i="1"/>
  <c r="H5" i="1"/>
  <c r="B6" i="1" s="1"/>
  <c r="Y15" i="1"/>
  <c r="Z5" i="1"/>
  <c r="T6" i="1" s="1"/>
  <c r="Q5" i="1"/>
  <c r="K6" i="1" s="1"/>
  <c r="L6" i="1" s="1"/>
  <c r="M6" i="1" s="1"/>
  <c r="AR6" i="1" l="1"/>
  <c r="C6" i="1"/>
  <c r="D6" i="1" s="1"/>
  <c r="U6" i="1"/>
  <c r="V6" i="1" s="1"/>
  <c r="O6" i="1"/>
  <c r="P16" i="1" s="1"/>
  <c r="N6" i="1"/>
  <c r="AU6" i="1" l="1"/>
  <c r="AT6" i="1"/>
  <c r="F6" i="1"/>
  <c r="E6" i="1"/>
  <c r="X6" i="1"/>
  <c r="W6" i="1"/>
  <c r="Q6" i="1"/>
  <c r="K7" i="1" s="1"/>
  <c r="L7" i="1" s="1"/>
  <c r="M7" i="1" s="1"/>
  <c r="O7" i="1" s="1"/>
  <c r="AV16" i="1" l="1"/>
  <c r="AW6" i="1"/>
  <c r="AQ7" i="1" s="1"/>
  <c r="G16" i="1"/>
  <c r="H6" i="1"/>
  <c r="B7" i="1" s="1"/>
  <c r="Y16" i="1"/>
  <c r="Z6" i="1"/>
  <c r="T7" i="1" s="1"/>
  <c r="N7" i="1"/>
  <c r="P17" i="1"/>
  <c r="AR7" i="1" l="1"/>
  <c r="C7" i="1"/>
  <c r="D7" i="1" s="1"/>
  <c r="U7" i="1"/>
  <c r="V7" i="1" s="1"/>
  <c r="Q7" i="1"/>
  <c r="K8" i="1" s="1"/>
  <c r="L8" i="1" s="1"/>
  <c r="AU7" i="1" l="1"/>
  <c r="AT7" i="1"/>
  <c r="F7" i="1"/>
  <c r="E7" i="1"/>
  <c r="X7" i="1"/>
  <c r="W7" i="1"/>
  <c r="M8" i="1"/>
  <c r="AV17" i="1" l="1"/>
  <c r="AW7" i="1"/>
  <c r="AQ8" i="1" s="1"/>
  <c r="G17" i="1"/>
  <c r="H7" i="1"/>
  <c r="B8" i="1" s="1"/>
  <c r="Y17" i="1"/>
  <c r="Z7" i="1"/>
  <c r="T8" i="1" s="1"/>
  <c r="O8" i="1"/>
  <c r="P18" i="1" s="1"/>
  <c r="N8" i="1"/>
  <c r="AR8" i="1" l="1"/>
  <c r="C8" i="1"/>
  <c r="D8" i="1" s="1"/>
  <c r="U8" i="1"/>
  <c r="V8" i="1" s="1"/>
  <c r="Q8" i="1"/>
  <c r="K9" i="1" s="1"/>
  <c r="L9" i="1" s="1"/>
  <c r="AU8" i="1" l="1"/>
  <c r="AT8" i="1"/>
  <c r="F8" i="1"/>
  <c r="E8" i="1"/>
  <c r="X8" i="1"/>
  <c r="W8" i="1"/>
  <c r="M9" i="1"/>
  <c r="AV18" i="1" l="1"/>
  <c r="AW8" i="1"/>
  <c r="AQ9" i="1" s="1"/>
  <c r="G18" i="1"/>
  <c r="H8" i="1"/>
  <c r="B9" i="1" s="1"/>
  <c r="Y18" i="1"/>
  <c r="Z8" i="1"/>
  <c r="T9" i="1" s="1"/>
  <c r="O9" i="1"/>
  <c r="P19" i="1" s="1"/>
  <c r="N9" i="1"/>
  <c r="AR9" i="1" l="1"/>
  <c r="C9" i="1"/>
  <c r="D9" i="1" s="1"/>
  <c r="U9" i="1"/>
  <c r="V9" i="1" s="1"/>
  <c r="Q9" i="1"/>
  <c r="K10" i="1" s="1"/>
  <c r="L10" i="1" s="1"/>
  <c r="M10" i="1" s="1"/>
  <c r="N10" i="1" s="1"/>
  <c r="AU9" i="1" l="1"/>
  <c r="AT9" i="1"/>
  <c r="AT10" i="1" s="1"/>
  <c r="F9" i="1"/>
  <c r="E9" i="1"/>
  <c r="X9" i="1"/>
  <c r="W9" i="1"/>
  <c r="O10" i="1"/>
  <c r="AV19" i="1" l="1"/>
  <c r="AW9" i="1"/>
  <c r="AQ10" i="1" s="1"/>
  <c r="G19" i="1"/>
  <c r="H9" i="1"/>
  <c r="B10" i="1" s="1"/>
  <c r="Y19" i="1"/>
  <c r="Z9" i="1"/>
  <c r="T10" i="1" s="1"/>
  <c r="P20" i="1"/>
  <c r="AR10" i="1" l="1"/>
  <c r="C10" i="1"/>
  <c r="D10" i="1" s="1"/>
  <c r="U10" i="1"/>
  <c r="V10" i="1" s="1"/>
  <c r="Q10" i="1"/>
  <c r="K11" i="1" s="1"/>
  <c r="L11" i="1" s="1"/>
  <c r="M11" i="1" s="1"/>
  <c r="AU10" i="1" l="1"/>
  <c r="F10" i="1"/>
  <c r="E10" i="1"/>
  <c r="X10" i="1"/>
  <c r="W10" i="1"/>
  <c r="O11" i="1"/>
  <c r="N11" i="1"/>
  <c r="AV20" i="1" l="1"/>
  <c r="AW10" i="1"/>
  <c r="AQ11" i="1" s="1"/>
  <c r="G20" i="1"/>
  <c r="H10" i="1"/>
  <c r="B11" i="1" s="1"/>
  <c r="Y20" i="1"/>
  <c r="Z10" i="1"/>
  <c r="T11" i="1" s="1"/>
  <c r="P21" i="1"/>
  <c r="AR11" i="1" l="1"/>
  <c r="C11" i="1"/>
  <c r="D11" i="1" s="1"/>
  <c r="U11" i="1"/>
  <c r="V11" i="1" s="1"/>
  <c r="AU11" i="1" l="1"/>
  <c r="AT11" i="1"/>
  <c r="AT12" i="1" s="1"/>
  <c r="F11" i="1"/>
  <c r="E11" i="1"/>
  <c r="X11" i="1"/>
  <c r="W11" i="1"/>
  <c r="AV21" i="1" l="1"/>
  <c r="AW11" i="1"/>
  <c r="AQ12" i="1" s="1"/>
  <c r="G21" i="1"/>
  <c r="H11" i="1"/>
  <c r="B12" i="1" s="1"/>
  <c r="Y21" i="1"/>
  <c r="Z11" i="1"/>
  <c r="T12" i="1" s="1"/>
  <c r="AR12" i="1" l="1"/>
  <c r="C12" i="1"/>
  <c r="D12" i="1" s="1"/>
  <c r="U12" i="1"/>
  <c r="V12" i="1" s="1"/>
  <c r="AU12" i="1" l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F12" i="1"/>
  <c r="E12" i="1"/>
  <c r="X12" i="1"/>
  <c r="W12" i="1"/>
  <c r="AV22" i="1" l="1"/>
  <c r="AW12" i="1"/>
  <c r="AQ13" i="1" s="1"/>
  <c r="G22" i="1"/>
  <c r="H12" i="1"/>
  <c r="B13" i="1" s="1"/>
  <c r="Y22" i="1"/>
  <c r="Z12" i="1"/>
  <c r="T13" i="1" s="1"/>
  <c r="AR13" i="1" l="1"/>
  <c r="C13" i="1"/>
  <c r="D13" i="1" s="1"/>
  <c r="E13" i="1" s="1"/>
  <c r="U13" i="1"/>
  <c r="V13" i="1" s="1"/>
  <c r="AU13" i="1" l="1"/>
  <c r="F13" i="1"/>
  <c r="X13" i="1"/>
  <c r="W13" i="1"/>
  <c r="AV23" i="1" l="1"/>
  <c r="AW13" i="1"/>
  <c r="AQ14" i="1" s="1"/>
  <c r="G23" i="1"/>
  <c r="H13" i="1"/>
  <c r="B14" i="1" s="1"/>
  <c r="Y23" i="1"/>
  <c r="Z13" i="1"/>
  <c r="T14" i="1" s="1"/>
  <c r="AR14" i="1" l="1"/>
  <c r="C14" i="1"/>
  <c r="D14" i="1" s="1"/>
  <c r="U14" i="1"/>
  <c r="V14" i="1" s="1"/>
  <c r="AU14" i="1" l="1"/>
  <c r="F14" i="1"/>
  <c r="E14" i="1"/>
  <c r="X14" i="1"/>
  <c r="W14" i="1"/>
  <c r="AV24" i="1" l="1"/>
  <c r="AW14" i="1"/>
  <c r="AQ15" i="1" s="1"/>
  <c r="G24" i="1"/>
  <c r="H14" i="1"/>
  <c r="B15" i="1" s="1"/>
  <c r="Y24" i="1"/>
  <c r="Z14" i="1"/>
  <c r="T15" i="1" s="1"/>
  <c r="AR15" i="1" l="1"/>
  <c r="C15" i="1"/>
  <c r="D15" i="1" s="1"/>
  <c r="U15" i="1"/>
  <c r="V15" i="1" s="1"/>
  <c r="AU15" i="1" l="1"/>
  <c r="F15" i="1"/>
  <c r="E15" i="1"/>
  <c r="X15" i="1"/>
  <c r="W15" i="1"/>
  <c r="AV25" i="1" l="1"/>
  <c r="AW15" i="1"/>
  <c r="AQ16" i="1" s="1"/>
  <c r="G25" i="1"/>
  <c r="H15" i="1"/>
  <c r="B16" i="1" s="1"/>
  <c r="Y25" i="1"/>
  <c r="Z15" i="1"/>
  <c r="T16" i="1" s="1"/>
  <c r="AR16" i="1" l="1"/>
  <c r="C16" i="1"/>
  <c r="D16" i="1" s="1"/>
  <c r="U16" i="1"/>
  <c r="V16" i="1" s="1"/>
  <c r="AU16" i="1" l="1"/>
  <c r="F16" i="1"/>
  <c r="E16" i="1"/>
  <c r="X16" i="1"/>
  <c r="W16" i="1"/>
  <c r="AV26" i="1" l="1"/>
  <c r="AW16" i="1"/>
  <c r="AQ17" i="1" s="1"/>
  <c r="G26" i="1"/>
  <c r="H16" i="1"/>
  <c r="B17" i="1" s="1"/>
  <c r="Y26" i="1"/>
  <c r="Z16" i="1"/>
  <c r="T17" i="1" s="1"/>
  <c r="AR17" i="1" l="1"/>
  <c r="C17" i="1"/>
  <c r="D17" i="1" s="1"/>
  <c r="U17" i="1"/>
  <c r="V17" i="1" s="1"/>
  <c r="AU17" i="1" l="1"/>
  <c r="F17" i="1"/>
  <c r="E17" i="1"/>
  <c r="X17" i="1"/>
  <c r="W17" i="1"/>
  <c r="AV27" i="1" l="1"/>
  <c r="AW17" i="1"/>
  <c r="AQ18" i="1" s="1"/>
  <c r="G27" i="1"/>
  <c r="H17" i="1"/>
  <c r="B18" i="1" s="1"/>
  <c r="Y27" i="1"/>
  <c r="Z17" i="1"/>
  <c r="T18" i="1" s="1"/>
  <c r="AR18" i="1" l="1"/>
  <c r="C18" i="1"/>
  <c r="D18" i="1" s="1"/>
  <c r="U18" i="1"/>
  <c r="V18" i="1" s="1"/>
  <c r="AU18" i="1" l="1"/>
  <c r="F18" i="1"/>
  <c r="E18" i="1"/>
  <c r="X18" i="1"/>
  <c r="W18" i="1"/>
  <c r="AV28" i="1" l="1"/>
  <c r="AW18" i="1"/>
  <c r="AQ19" i="1" s="1"/>
  <c r="G28" i="1"/>
  <c r="H18" i="1"/>
  <c r="B19" i="1" s="1"/>
  <c r="Y28" i="1"/>
  <c r="Z18" i="1"/>
  <c r="T19" i="1" s="1"/>
  <c r="AR19" i="1" l="1"/>
  <c r="C19" i="1"/>
  <c r="D19" i="1" s="1"/>
  <c r="U19" i="1"/>
  <c r="V19" i="1" s="1"/>
  <c r="AU19" i="1" l="1"/>
  <c r="F19" i="1"/>
  <c r="E19" i="1"/>
  <c r="X19" i="1"/>
  <c r="W19" i="1"/>
  <c r="AV29" i="1" l="1"/>
  <c r="AW19" i="1"/>
  <c r="AQ20" i="1" s="1"/>
  <c r="G29" i="1"/>
  <c r="H19" i="1"/>
  <c r="B20" i="1" s="1"/>
  <c r="Y29" i="1"/>
  <c r="Z19" i="1"/>
  <c r="T20" i="1" s="1"/>
  <c r="AR20" i="1" l="1"/>
  <c r="C20" i="1"/>
  <c r="D20" i="1" s="1"/>
  <c r="U20" i="1"/>
  <c r="V20" i="1" s="1"/>
  <c r="AU20" i="1" l="1"/>
  <c r="F20" i="1"/>
  <c r="E20" i="1"/>
  <c r="X20" i="1"/>
  <c r="W20" i="1"/>
  <c r="AV30" i="1" l="1"/>
  <c r="AW20" i="1"/>
  <c r="AQ21" i="1" s="1"/>
  <c r="G30" i="1"/>
  <c r="H20" i="1"/>
  <c r="B21" i="1" s="1"/>
  <c r="Y30" i="1"/>
  <c r="Z20" i="1"/>
  <c r="T21" i="1" s="1"/>
  <c r="AR21" i="1" l="1"/>
  <c r="C21" i="1"/>
  <c r="D21" i="1" s="1"/>
  <c r="U21" i="1"/>
  <c r="V21" i="1" s="1"/>
  <c r="AU21" i="1" l="1"/>
  <c r="F21" i="1"/>
  <c r="E21" i="1"/>
  <c r="X21" i="1"/>
  <c r="W21" i="1"/>
  <c r="AV31" i="1" l="1"/>
  <c r="AW21" i="1"/>
  <c r="AQ22" i="1" s="1"/>
  <c r="G31" i="1"/>
  <c r="H21" i="1"/>
  <c r="B22" i="1" s="1"/>
  <c r="Y31" i="1"/>
  <c r="Z21" i="1"/>
  <c r="T22" i="1" s="1"/>
  <c r="AR22" i="1" l="1"/>
  <c r="C22" i="1"/>
  <c r="D22" i="1" s="1"/>
  <c r="U22" i="1"/>
  <c r="V22" i="1" s="1"/>
  <c r="AU22" i="1" l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F22" i="1"/>
  <c r="E22" i="1"/>
  <c r="X22" i="1"/>
  <c r="W22" i="1"/>
  <c r="AV32" i="1" l="1"/>
  <c r="AW22" i="1"/>
  <c r="AQ23" i="1" s="1"/>
  <c r="G32" i="1"/>
  <c r="H22" i="1"/>
  <c r="B23" i="1" s="1"/>
  <c r="Y32" i="1"/>
  <c r="Z22" i="1"/>
  <c r="T23" i="1" s="1"/>
  <c r="AR23" i="1" l="1"/>
  <c r="C23" i="1"/>
  <c r="D23" i="1" s="1"/>
  <c r="U23" i="1"/>
  <c r="V23" i="1" s="1"/>
  <c r="AU23" i="1" l="1"/>
  <c r="F23" i="1"/>
  <c r="E23" i="1"/>
  <c r="X23" i="1"/>
  <c r="W23" i="1"/>
  <c r="AV33" i="1" l="1"/>
  <c r="AW23" i="1"/>
  <c r="AQ24" i="1" s="1"/>
  <c r="G33" i="1"/>
  <c r="H23" i="1"/>
  <c r="B24" i="1" s="1"/>
  <c r="Y33" i="1"/>
  <c r="Z23" i="1"/>
  <c r="T24" i="1" s="1"/>
  <c r="AR24" i="1" l="1"/>
  <c r="C24" i="1"/>
  <c r="D24" i="1" s="1"/>
  <c r="U24" i="1"/>
  <c r="V24" i="1" s="1"/>
  <c r="AU24" i="1" l="1"/>
  <c r="F24" i="1"/>
  <c r="E24" i="1"/>
  <c r="X24" i="1"/>
  <c r="W24" i="1"/>
  <c r="AV34" i="1" l="1"/>
  <c r="AW24" i="1"/>
  <c r="AQ25" i="1" s="1"/>
  <c r="G34" i="1"/>
  <c r="H24" i="1"/>
  <c r="B25" i="1" s="1"/>
  <c r="Y34" i="1"/>
  <c r="Z24" i="1"/>
  <c r="T25" i="1" s="1"/>
  <c r="AR25" i="1" l="1"/>
  <c r="C25" i="1"/>
  <c r="D25" i="1" s="1"/>
  <c r="U25" i="1"/>
  <c r="V25" i="1" s="1"/>
  <c r="AU25" i="1" l="1"/>
  <c r="F25" i="1"/>
  <c r="E25" i="1"/>
  <c r="X25" i="1"/>
  <c r="W25" i="1"/>
  <c r="AV35" i="1" l="1"/>
  <c r="AW25" i="1"/>
  <c r="AQ26" i="1" s="1"/>
  <c r="G35" i="1"/>
  <c r="H25" i="1"/>
  <c r="B26" i="1" s="1"/>
  <c r="Y35" i="1"/>
  <c r="Z25" i="1"/>
  <c r="T26" i="1" s="1"/>
  <c r="AR26" i="1" l="1"/>
  <c r="C26" i="1"/>
  <c r="D26" i="1" s="1"/>
  <c r="U26" i="1"/>
  <c r="V26" i="1" s="1"/>
  <c r="AU26" i="1" l="1"/>
  <c r="F26" i="1"/>
  <c r="E26" i="1"/>
  <c r="X26" i="1"/>
  <c r="W26" i="1"/>
  <c r="AV36" i="1" l="1"/>
  <c r="AW26" i="1"/>
  <c r="AQ27" i="1" s="1"/>
  <c r="G36" i="1"/>
  <c r="H26" i="1"/>
  <c r="B27" i="1" s="1"/>
  <c r="Y36" i="1"/>
  <c r="Z26" i="1"/>
  <c r="T27" i="1" s="1"/>
  <c r="AR27" i="1" l="1"/>
  <c r="C27" i="1"/>
  <c r="D27" i="1" s="1"/>
  <c r="U27" i="1"/>
  <c r="V27" i="1" s="1"/>
  <c r="AU27" i="1" l="1"/>
  <c r="F27" i="1"/>
  <c r="E27" i="1"/>
  <c r="X27" i="1"/>
  <c r="W27" i="1"/>
  <c r="Q11" i="1"/>
  <c r="AV37" i="1" l="1"/>
  <c r="AW27" i="1"/>
  <c r="AQ28" i="1" s="1"/>
  <c r="G37" i="1"/>
  <c r="H27" i="1"/>
  <c r="B28" i="1" s="1"/>
  <c r="Y37" i="1"/>
  <c r="Z27" i="1"/>
  <c r="T28" i="1" s="1"/>
  <c r="K12" i="1"/>
  <c r="L12" i="1" s="1"/>
  <c r="M12" i="1" s="1"/>
  <c r="N12" i="1" s="1"/>
  <c r="AR28" i="1" l="1"/>
  <c r="C28" i="1"/>
  <c r="D28" i="1" s="1"/>
  <c r="U28" i="1"/>
  <c r="V28" i="1" s="1"/>
  <c r="O12" i="1"/>
  <c r="AU28" i="1" l="1"/>
  <c r="F28" i="1"/>
  <c r="E28" i="1"/>
  <c r="X28" i="1"/>
  <c r="W28" i="1"/>
  <c r="Q12" i="1"/>
  <c r="K13" i="1" s="1"/>
  <c r="L13" i="1" s="1"/>
  <c r="M13" i="1" s="1"/>
  <c r="N13" i="1" s="1"/>
  <c r="P22" i="1"/>
  <c r="AV38" i="1" l="1"/>
  <c r="AW28" i="1"/>
  <c r="AQ29" i="1" s="1"/>
  <c r="G38" i="1"/>
  <c r="H28" i="1"/>
  <c r="B29" i="1" s="1"/>
  <c r="Y38" i="1"/>
  <c r="Z28" i="1"/>
  <c r="T29" i="1" s="1"/>
  <c r="O13" i="1"/>
  <c r="AR29" i="1" l="1"/>
  <c r="C29" i="1"/>
  <c r="D29" i="1" s="1"/>
  <c r="U29" i="1"/>
  <c r="V29" i="1" s="1"/>
  <c r="AU29" i="1" l="1"/>
  <c r="F29" i="1"/>
  <c r="E29" i="1"/>
  <c r="X29" i="1"/>
  <c r="W29" i="1"/>
  <c r="Q13" i="1"/>
  <c r="K14" i="1" s="1"/>
  <c r="L14" i="1" s="1"/>
  <c r="M14" i="1" s="1"/>
  <c r="N14" i="1" s="1"/>
  <c r="P23" i="1"/>
  <c r="AV39" i="1" l="1"/>
  <c r="AW29" i="1"/>
  <c r="AQ30" i="1" s="1"/>
  <c r="G39" i="1"/>
  <c r="H29" i="1"/>
  <c r="B30" i="1" s="1"/>
  <c r="Y39" i="1"/>
  <c r="Z29" i="1"/>
  <c r="T30" i="1" s="1"/>
  <c r="O14" i="1"/>
  <c r="AR30" i="1" l="1"/>
  <c r="C30" i="1"/>
  <c r="D30" i="1" s="1"/>
  <c r="U30" i="1"/>
  <c r="V30" i="1" s="1"/>
  <c r="Q14" i="1"/>
  <c r="K15" i="1" s="1"/>
  <c r="L15" i="1" s="1"/>
  <c r="M15" i="1" s="1"/>
  <c r="N15" i="1" s="1"/>
  <c r="P24" i="1"/>
  <c r="AU30" i="1" l="1"/>
  <c r="F30" i="1"/>
  <c r="E30" i="1"/>
  <c r="X30" i="1"/>
  <c r="W30" i="1"/>
  <c r="O15" i="1"/>
  <c r="AV40" i="1" l="1"/>
  <c r="AW30" i="1"/>
  <c r="AQ31" i="1" s="1"/>
  <c r="G40" i="1"/>
  <c r="H30" i="1"/>
  <c r="B31" i="1" s="1"/>
  <c r="Y40" i="1"/>
  <c r="Z30" i="1"/>
  <c r="T31" i="1" s="1"/>
  <c r="Q15" i="1"/>
  <c r="K16" i="1" s="1"/>
  <c r="P25" i="1"/>
  <c r="AR31" i="1" l="1"/>
  <c r="C31" i="1"/>
  <c r="D31" i="1" s="1"/>
  <c r="U31" i="1"/>
  <c r="V31" i="1" s="1"/>
  <c r="L16" i="1"/>
  <c r="M16" i="1" s="1"/>
  <c r="N16" i="1" s="1"/>
  <c r="AU31" i="1" l="1"/>
  <c r="F31" i="1"/>
  <c r="E31" i="1"/>
  <c r="X31" i="1"/>
  <c r="W31" i="1"/>
  <c r="O16" i="1"/>
  <c r="AV41" i="1" l="1"/>
  <c r="AW31" i="1"/>
  <c r="AQ32" i="1" s="1"/>
  <c r="G41" i="1"/>
  <c r="H31" i="1"/>
  <c r="B32" i="1" s="1"/>
  <c r="Y41" i="1"/>
  <c r="Z31" i="1"/>
  <c r="T32" i="1" s="1"/>
  <c r="P26" i="1"/>
  <c r="Q16" i="1"/>
  <c r="K17" i="1" s="1"/>
  <c r="AR32" i="1" l="1"/>
  <c r="C32" i="1"/>
  <c r="D32" i="1" s="1"/>
  <c r="U32" i="1"/>
  <c r="V32" i="1" s="1"/>
  <c r="L17" i="1"/>
  <c r="M17" i="1" s="1"/>
  <c r="N17" i="1" s="1"/>
  <c r="AU32" i="1" l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F32" i="1"/>
  <c r="E32" i="1"/>
  <c r="X32" i="1"/>
  <c r="W32" i="1"/>
  <c r="O17" i="1"/>
  <c r="AV42" i="1" l="1"/>
  <c r="AW32" i="1"/>
  <c r="AQ33" i="1" s="1"/>
  <c r="G42" i="1"/>
  <c r="H32" i="1"/>
  <c r="B33" i="1" s="1"/>
  <c r="Y42" i="1"/>
  <c r="Z32" i="1"/>
  <c r="T33" i="1" s="1"/>
  <c r="P27" i="1"/>
  <c r="Q17" i="1"/>
  <c r="K18" i="1" s="1"/>
  <c r="AR33" i="1" l="1"/>
  <c r="C33" i="1"/>
  <c r="D33" i="1" s="1"/>
  <c r="U33" i="1"/>
  <c r="V33" i="1" s="1"/>
  <c r="L18" i="1"/>
  <c r="M18" i="1" s="1"/>
  <c r="N18" i="1" s="1"/>
  <c r="AU33" i="1" l="1"/>
  <c r="F33" i="1"/>
  <c r="E33" i="1"/>
  <c r="X33" i="1"/>
  <c r="W33" i="1"/>
  <c r="O18" i="1"/>
  <c r="AV43" i="1" l="1"/>
  <c r="AW33" i="1"/>
  <c r="AQ34" i="1" s="1"/>
  <c r="G43" i="1"/>
  <c r="H33" i="1"/>
  <c r="B34" i="1" s="1"/>
  <c r="Y43" i="1"/>
  <c r="Z33" i="1"/>
  <c r="T34" i="1" s="1"/>
  <c r="P28" i="1"/>
  <c r="Q18" i="1"/>
  <c r="K19" i="1" s="1"/>
  <c r="L19" i="1" s="1"/>
  <c r="M19" i="1" s="1"/>
  <c r="N19" i="1" s="1"/>
  <c r="AR34" i="1" l="1"/>
  <c r="C34" i="1"/>
  <c r="D34" i="1" s="1"/>
  <c r="U34" i="1"/>
  <c r="V34" i="1" s="1"/>
  <c r="O19" i="1"/>
  <c r="AU34" i="1" l="1"/>
  <c r="F34" i="1"/>
  <c r="E34" i="1"/>
  <c r="X34" i="1"/>
  <c r="W34" i="1"/>
  <c r="P29" i="1"/>
  <c r="Q19" i="1"/>
  <c r="K20" i="1" s="1"/>
  <c r="L20" i="1" s="1"/>
  <c r="M20" i="1" s="1"/>
  <c r="N20" i="1" s="1"/>
  <c r="AV44" i="1" l="1"/>
  <c r="AW34" i="1"/>
  <c r="AQ35" i="1" s="1"/>
  <c r="G44" i="1"/>
  <c r="H34" i="1"/>
  <c r="B35" i="1" s="1"/>
  <c r="Y44" i="1"/>
  <c r="Z34" i="1"/>
  <c r="T35" i="1" s="1"/>
  <c r="O20" i="1"/>
  <c r="AR35" i="1" l="1"/>
  <c r="C35" i="1"/>
  <c r="D35" i="1" s="1"/>
  <c r="U35" i="1"/>
  <c r="V35" i="1" s="1"/>
  <c r="P30" i="1"/>
  <c r="Q20" i="1"/>
  <c r="K21" i="1" s="1"/>
  <c r="AU35" i="1" l="1"/>
  <c r="F35" i="1"/>
  <c r="E35" i="1"/>
  <c r="X35" i="1"/>
  <c r="W35" i="1"/>
  <c r="L21" i="1"/>
  <c r="M21" i="1" s="1"/>
  <c r="N21" i="1" s="1"/>
  <c r="AV45" i="1" l="1"/>
  <c r="AW35" i="1"/>
  <c r="AQ36" i="1" s="1"/>
  <c r="G45" i="1"/>
  <c r="H35" i="1"/>
  <c r="B36" i="1" s="1"/>
  <c r="Y45" i="1"/>
  <c r="Z35" i="1"/>
  <c r="T36" i="1" s="1"/>
  <c r="O21" i="1"/>
  <c r="AR36" i="1" l="1"/>
  <c r="C36" i="1"/>
  <c r="D36" i="1" s="1"/>
  <c r="U36" i="1"/>
  <c r="V36" i="1" s="1"/>
  <c r="P31" i="1"/>
  <c r="Q21" i="1"/>
  <c r="K22" i="1" s="1"/>
  <c r="AU36" i="1" l="1"/>
  <c r="F36" i="1"/>
  <c r="E36" i="1"/>
  <c r="X36" i="1"/>
  <c r="W36" i="1"/>
  <c r="L22" i="1"/>
  <c r="M22" i="1" s="1"/>
  <c r="N22" i="1" s="1"/>
  <c r="AV46" i="1" l="1"/>
  <c r="AW36" i="1"/>
  <c r="AQ37" i="1" s="1"/>
  <c r="G46" i="1"/>
  <c r="H36" i="1"/>
  <c r="B37" i="1" s="1"/>
  <c r="Y46" i="1"/>
  <c r="Z36" i="1"/>
  <c r="T37" i="1" s="1"/>
  <c r="O22" i="1"/>
  <c r="AR37" i="1" l="1"/>
  <c r="C37" i="1"/>
  <c r="D37" i="1" s="1"/>
  <c r="U37" i="1"/>
  <c r="V37" i="1" s="1"/>
  <c r="P32" i="1"/>
  <c r="Q22" i="1"/>
  <c r="K23" i="1" s="1"/>
  <c r="AU37" i="1" l="1"/>
  <c r="F37" i="1"/>
  <c r="E37" i="1"/>
  <c r="X37" i="1"/>
  <c r="W37" i="1"/>
  <c r="L23" i="1"/>
  <c r="M23" i="1" s="1"/>
  <c r="N23" i="1" s="1"/>
  <c r="AV47" i="1" l="1"/>
  <c r="AW37" i="1"/>
  <c r="AQ38" i="1" s="1"/>
  <c r="G47" i="1"/>
  <c r="H37" i="1"/>
  <c r="B38" i="1" s="1"/>
  <c r="Y47" i="1"/>
  <c r="Z37" i="1"/>
  <c r="T38" i="1" s="1"/>
  <c r="O23" i="1"/>
  <c r="AR38" i="1" l="1"/>
  <c r="C38" i="1"/>
  <c r="D38" i="1" s="1"/>
  <c r="U38" i="1"/>
  <c r="V38" i="1" s="1"/>
  <c r="P33" i="1"/>
  <c r="Q23" i="1"/>
  <c r="K24" i="1" s="1"/>
  <c r="AU38" i="1" l="1"/>
  <c r="F38" i="1"/>
  <c r="E38" i="1"/>
  <c r="X38" i="1"/>
  <c r="W38" i="1"/>
  <c r="L24" i="1"/>
  <c r="M24" i="1" s="1"/>
  <c r="N24" i="1" s="1"/>
  <c r="AV48" i="1" l="1"/>
  <c r="AW38" i="1"/>
  <c r="AQ39" i="1" s="1"/>
  <c r="G48" i="1"/>
  <c r="H38" i="1"/>
  <c r="B39" i="1" s="1"/>
  <c r="Y48" i="1"/>
  <c r="Z38" i="1"/>
  <c r="T39" i="1" s="1"/>
  <c r="O24" i="1"/>
  <c r="AR39" i="1" l="1"/>
  <c r="C39" i="1"/>
  <c r="D39" i="1" s="1"/>
  <c r="U39" i="1"/>
  <c r="V39" i="1" s="1"/>
  <c r="P34" i="1"/>
  <c r="Q24" i="1"/>
  <c r="K25" i="1" s="1"/>
  <c r="AU39" i="1" l="1"/>
  <c r="F39" i="1"/>
  <c r="E39" i="1"/>
  <c r="X39" i="1"/>
  <c r="W39" i="1"/>
  <c r="L25" i="1"/>
  <c r="M25" i="1" s="1"/>
  <c r="N25" i="1" s="1"/>
  <c r="AV49" i="1" l="1"/>
  <c r="AW39" i="1"/>
  <c r="AQ40" i="1" s="1"/>
  <c r="G49" i="1"/>
  <c r="H39" i="1"/>
  <c r="B40" i="1" s="1"/>
  <c r="Y49" i="1"/>
  <c r="Z39" i="1"/>
  <c r="T40" i="1" s="1"/>
  <c r="O25" i="1"/>
  <c r="AR40" i="1" l="1"/>
  <c r="C40" i="1"/>
  <c r="D40" i="1" s="1"/>
  <c r="U40" i="1"/>
  <c r="V40" i="1" s="1"/>
  <c r="P35" i="1"/>
  <c r="Q25" i="1"/>
  <c r="K26" i="1" s="1"/>
  <c r="AU40" i="1" l="1"/>
  <c r="F40" i="1"/>
  <c r="E40" i="1"/>
  <c r="X40" i="1"/>
  <c r="W40" i="1"/>
  <c r="L26" i="1"/>
  <c r="M26" i="1" s="1"/>
  <c r="N26" i="1" s="1"/>
  <c r="AV50" i="1" l="1"/>
  <c r="AW40" i="1"/>
  <c r="AQ41" i="1" s="1"/>
  <c r="G50" i="1"/>
  <c r="H40" i="1"/>
  <c r="B41" i="1" s="1"/>
  <c r="Y50" i="1"/>
  <c r="Z40" i="1"/>
  <c r="T41" i="1" s="1"/>
  <c r="O26" i="1"/>
  <c r="AR41" i="1" l="1"/>
  <c r="C41" i="1"/>
  <c r="D41" i="1" s="1"/>
  <c r="U41" i="1"/>
  <c r="V41" i="1" s="1"/>
  <c r="P36" i="1"/>
  <c r="Q26" i="1"/>
  <c r="K27" i="1" s="1"/>
  <c r="AU41" i="1" l="1"/>
  <c r="F41" i="1"/>
  <c r="E41" i="1"/>
  <c r="X41" i="1"/>
  <c r="W41" i="1"/>
  <c r="L27" i="1"/>
  <c r="M27" i="1" s="1"/>
  <c r="N27" i="1" s="1"/>
  <c r="AV51" i="1" l="1"/>
  <c r="AW41" i="1"/>
  <c r="AQ42" i="1" s="1"/>
  <c r="G51" i="1"/>
  <c r="H41" i="1"/>
  <c r="B42" i="1" s="1"/>
  <c r="Y51" i="1"/>
  <c r="Z41" i="1"/>
  <c r="T42" i="1" s="1"/>
  <c r="O27" i="1"/>
  <c r="AR42" i="1" l="1"/>
  <c r="C42" i="1"/>
  <c r="D42" i="1" s="1"/>
  <c r="U42" i="1"/>
  <c r="V42" i="1" s="1"/>
  <c r="P37" i="1"/>
  <c r="Q27" i="1"/>
  <c r="K28" i="1" s="1"/>
  <c r="AU42" i="1" l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F42" i="1"/>
  <c r="E42" i="1"/>
  <c r="X42" i="1"/>
  <c r="W42" i="1"/>
  <c r="L28" i="1"/>
  <c r="M28" i="1" s="1"/>
  <c r="N28" i="1" s="1"/>
  <c r="AV52" i="1" l="1"/>
  <c r="AW42" i="1"/>
  <c r="AQ43" i="1" s="1"/>
  <c r="G52" i="1"/>
  <c r="H42" i="1"/>
  <c r="B43" i="1" s="1"/>
  <c r="Y52" i="1"/>
  <c r="Z42" i="1"/>
  <c r="T43" i="1" s="1"/>
  <c r="O28" i="1"/>
  <c r="AR43" i="1" l="1"/>
  <c r="C43" i="1"/>
  <c r="D43" i="1" s="1"/>
  <c r="U43" i="1"/>
  <c r="V43" i="1" s="1"/>
  <c r="P38" i="1"/>
  <c r="Q28" i="1"/>
  <c r="K29" i="1" s="1"/>
  <c r="AU43" i="1" l="1"/>
  <c r="AW43" i="1" s="1"/>
  <c r="AQ44" i="1" s="1"/>
  <c r="F43" i="1"/>
  <c r="H43" i="1" s="1"/>
  <c r="B44" i="1" s="1"/>
  <c r="E43" i="1"/>
  <c r="X43" i="1"/>
  <c r="Z43" i="1" s="1"/>
  <c r="T44" i="1" s="1"/>
  <c r="W43" i="1"/>
  <c r="L29" i="1"/>
  <c r="M29" i="1" s="1"/>
  <c r="N29" i="1" s="1"/>
  <c r="AR44" i="1" l="1"/>
  <c r="AU44" i="1" s="1"/>
  <c r="AW44" i="1" s="1"/>
  <c r="AQ45" i="1" s="1"/>
  <c r="C44" i="1"/>
  <c r="U44" i="1"/>
  <c r="O29" i="1"/>
  <c r="AR45" i="1" l="1"/>
  <c r="D44" i="1"/>
  <c r="F44" i="1" s="1"/>
  <c r="H44" i="1" s="1"/>
  <c r="B45" i="1" s="1"/>
  <c r="C45" i="1" s="1"/>
  <c r="D45" i="1" s="1"/>
  <c r="V44" i="1"/>
  <c r="X44" i="1" s="1"/>
  <c r="Z44" i="1" s="1"/>
  <c r="T45" i="1" s="1"/>
  <c r="U45" i="1" s="1"/>
  <c r="V45" i="1" s="1"/>
  <c r="P39" i="1"/>
  <c r="Q29" i="1"/>
  <c r="K30" i="1" s="1"/>
  <c r="W44" i="1" l="1"/>
  <c r="X45" i="1" s="1"/>
  <c r="Z45" i="1" s="1"/>
  <c r="T46" i="1" s="1"/>
  <c r="AU45" i="1"/>
  <c r="AW45" i="1" s="1"/>
  <c r="AQ46" i="1" s="1"/>
  <c r="E44" i="1"/>
  <c r="E45" i="1" s="1"/>
  <c r="L30" i="1"/>
  <c r="M30" i="1" s="1"/>
  <c r="N30" i="1" s="1"/>
  <c r="W45" i="1" l="1"/>
  <c r="F45" i="1"/>
  <c r="H45" i="1" s="1"/>
  <c r="B46" i="1" s="1"/>
  <c r="C46" i="1" s="1"/>
  <c r="D46" i="1" s="1"/>
  <c r="AR46" i="1"/>
  <c r="U46" i="1"/>
  <c r="V46" i="1" s="1"/>
  <c r="O30" i="1"/>
  <c r="AU46" i="1" l="1"/>
  <c r="AW46" i="1" s="1"/>
  <c r="AQ47" i="1" s="1"/>
  <c r="F46" i="1"/>
  <c r="H46" i="1" s="1"/>
  <c r="B47" i="1" s="1"/>
  <c r="E46" i="1"/>
  <c r="X46" i="1"/>
  <c r="Z46" i="1" s="1"/>
  <c r="T47" i="1" s="1"/>
  <c r="W46" i="1"/>
  <c r="P40" i="1"/>
  <c r="Q30" i="1"/>
  <c r="K31" i="1" s="1"/>
  <c r="AR47" i="1" l="1"/>
  <c r="AU47" i="1" s="1"/>
  <c r="AW47" i="1" s="1"/>
  <c r="AQ48" i="1" s="1"/>
  <c r="C47" i="1"/>
  <c r="U47" i="1"/>
  <c r="L31" i="1"/>
  <c r="M31" i="1" s="1"/>
  <c r="N31" i="1" s="1"/>
  <c r="AR48" i="1" l="1"/>
  <c r="D47" i="1"/>
  <c r="F47" i="1" s="1"/>
  <c r="H47" i="1" s="1"/>
  <c r="B48" i="1" s="1"/>
  <c r="C48" i="1" s="1"/>
  <c r="D48" i="1" s="1"/>
  <c r="V47" i="1"/>
  <c r="X47" i="1" s="1"/>
  <c r="Z47" i="1" s="1"/>
  <c r="T48" i="1" s="1"/>
  <c r="U48" i="1" s="1"/>
  <c r="V48" i="1" s="1"/>
  <c r="O31" i="1"/>
  <c r="Q31" i="1" s="1"/>
  <c r="E47" i="1" l="1"/>
  <c r="E48" i="1" s="1"/>
  <c r="AU48" i="1"/>
  <c r="AW48" i="1" s="1"/>
  <c r="AQ49" i="1" s="1"/>
  <c r="W47" i="1"/>
  <c r="W48" i="1" s="1"/>
  <c r="P41" i="1"/>
  <c r="K32" i="1"/>
  <c r="F48" i="1" l="1"/>
  <c r="H48" i="1" s="1"/>
  <c r="B49" i="1" s="1"/>
  <c r="C49" i="1" s="1"/>
  <c r="D49" i="1" s="1"/>
  <c r="X48" i="1"/>
  <c r="Z48" i="1" s="1"/>
  <c r="T49" i="1" s="1"/>
  <c r="U49" i="1" s="1"/>
  <c r="V49" i="1" s="1"/>
  <c r="AR49" i="1"/>
  <c r="L32" i="1"/>
  <c r="M32" i="1" s="1"/>
  <c r="N32" i="1" s="1"/>
  <c r="AU49" i="1" l="1"/>
  <c r="AW49" i="1" s="1"/>
  <c r="AQ50" i="1" s="1"/>
  <c r="F49" i="1"/>
  <c r="H49" i="1" s="1"/>
  <c r="B50" i="1" s="1"/>
  <c r="E49" i="1"/>
  <c r="X49" i="1"/>
  <c r="Z49" i="1" s="1"/>
  <c r="T50" i="1" s="1"/>
  <c r="W49" i="1"/>
  <c r="O32" i="1"/>
  <c r="AR50" i="1" l="1"/>
  <c r="AU50" i="1" s="1"/>
  <c r="AW50" i="1" s="1"/>
  <c r="AQ51" i="1" s="1"/>
  <c r="C50" i="1"/>
  <c r="U50" i="1"/>
  <c r="P42" i="1"/>
  <c r="Q32" i="1"/>
  <c r="K33" i="1" s="1"/>
  <c r="AR51" i="1" l="1"/>
  <c r="D50" i="1"/>
  <c r="F50" i="1" s="1"/>
  <c r="H50" i="1" s="1"/>
  <c r="B51" i="1" s="1"/>
  <c r="C51" i="1" s="1"/>
  <c r="D51" i="1" s="1"/>
  <c r="V50" i="1"/>
  <c r="X50" i="1" s="1"/>
  <c r="Z50" i="1" s="1"/>
  <c r="T51" i="1" s="1"/>
  <c r="U51" i="1" s="1"/>
  <c r="V51" i="1" s="1"/>
  <c r="L33" i="1"/>
  <c r="M33" i="1" s="1"/>
  <c r="N33" i="1" s="1"/>
  <c r="W50" i="1" l="1"/>
  <c r="W51" i="1" s="1"/>
  <c r="E50" i="1"/>
  <c r="E51" i="1" s="1"/>
  <c r="AU51" i="1"/>
  <c r="AW51" i="1" s="1"/>
  <c r="AQ52" i="1" s="1"/>
  <c r="O33" i="1"/>
  <c r="X51" i="1" l="1"/>
  <c r="Z51" i="1" s="1"/>
  <c r="T52" i="1" s="1"/>
  <c r="F51" i="1"/>
  <c r="H51" i="1" s="1"/>
  <c r="B52" i="1" s="1"/>
  <c r="C52" i="1" s="1"/>
  <c r="D52" i="1" s="1"/>
  <c r="AR52" i="1"/>
  <c r="U52" i="1"/>
  <c r="V52" i="1" s="1"/>
  <c r="P43" i="1"/>
  <c r="Q33" i="1"/>
  <c r="K34" i="1" s="1"/>
  <c r="AU52" i="1" l="1"/>
  <c r="AW52" i="1" s="1"/>
  <c r="F52" i="1"/>
  <c r="H52" i="1" s="1"/>
  <c r="E52" i="1"/>
  <c r="X52" i="1"/>
  <c r="Z52" i="1" s="1"/>
  <c r="W52" i="1"/>
  <c r="L34" i="1"/>
  <c r="M34" i="1" s="1"/>
  <c r="N34" i="1" s="1"/>
  <c r="O34" i="1" l="1"/>
  <c r="P44" i="1" l="1"/>
  <c r="Q34" i="1"/>
  <c r="K35" i="1" s="1"/>
  <c r="L35" i="1" l="1"/>
  <c r="M35" i="1" s="1"/>
  <c r="N35" i="1" s="1"/>
  <c r="O35" i="1" l="1"/>
  <c r="P45" i="1" s="1"/>
  <c r="Q35" i="1" l="1"/>
  <c r="K36" i="1" s="1"/>
  <c r="L36" i="1" s="1"/>
  <c r="M36" i="1" s="1"/>
  <c r="N36" i="1" s="1"/>
  <c r="O36" i="1" l="1"/>
  <c r="P46" i="1" s="1"/>
  <c r="Q36" i="1" l="1"/>
  <c r="K37" i="1" s="1"/>
  <c r="L37" i="1" s="1"/>
  <c r="M37" i="1" s="1"/>
  <c r="N37" i="1" s="1"/>
  <c r="O37" i="1" l="1"/>
  <c r="P47" i="1" s="1"/>
  <c r="Q37" i="1" l="1"/>
  <c r="K38" i="1" s="1"/>
  <c r="L38" i="1" s="1"/>
  <c r="M38" i="1" s="1"/>
  <c r="N38" i="1" s="1"/>
  <c r="O38" i="1" l="1"/>
  <c r="P48" i="1" s="1"/>
  <c r="Q38" i="1" l="1"/>
  <c r="K39" i="1" s="1"/>
  <c r="L39" i="1" s="1"/>
  <c r="M39" i="1" s="1"/>
  <c r="O39" i="1" l="1"/>
  <c r="P49" i="1" s="1"/>
  <c r="N39" i="1"/>
  <c r="Q39" i="1" l="1"/>
  <c r="K40" i="1" s="1"/>
  <c r="L40" i="1" s="1"/>
  <c r="M40" i="1" s="1"/>
  <c r="O40" i="1" s="1"/>
  <c r="N40" i="1" l="1"/>
  <c r="P50" i="1"/>
  <c r="Q40" i="1" l="1"/>
  <c r="K41" i="1" s="1"/>
  <c r="L41" i="1" s="1"/>
  <c r="M41" i="1" s="1"/>
  <c r="O41" i="1" s="1"/>
  <c r="N41" i="1" l="1"/>
  <c r="P51" i="1"/>
  <c r="Q41" i="1" l="1"/>
  <c r="K42" i="1" s="1"/>
  <c r="L42" i="1" s="1"/>
  <c r="M42" i="1" s="1"/>
  <c r="O42" i="1" s="1"/>
  <c r="N42" i="1" l="1"/>
  <c r="P52" i="1"/>
  <c r="Q42" i="1"/>
  <c r="K43" i="1" s="1"/>
  <c r="L43" i="1" s="1"/>
  <c r="M43" i="1" s="1"/>
  <c r="O43" i="1" s="1"/>
  <c r="N43" i="1" l="1"/>
  <c r="Q43" i="1"/>
  <c r="K44" i="1" s="1"/>
  <c r="L44" i="1" s="1"/>
  <c r="M44" i="1" s="1"/>
  <c r="O44" i="1" l="1"/>
  <c r="Q44" i="1" s="1"/>
  <c r="K45" i="1" s="1"/>
  <c r="L45" i="1" s="1"/>
  <c r="M45" i="1" s="1"/>
  <c r="N44" i="1"/>
  <c r="O45" i="1" l="1"/>
  <c r="Q45" i="1" s="1"/>
  <c r="K46" i="1" s="1"/>
  <c r="L46" i="1" s="1"/>
  <c r="M46" i="1" s="1"/>
  <c r="N45" i="1"/>
  <c r="N46" i="1" l="1"/>
  <c r="O46" i="1"/>
  <c r="Q46" i="1" s="1"/>
  <c r="K47" i="1" s="1"/>
  <c r="L47" i="1" s="1"/>
  <c r="M47" i="1" s="1"/>
  <c r="N47" i="1" l="1"/>
  <c r="O47" i="1"/>
  <c r="Q47" i="1" s="1"/>
  <c r="K48" i="1" s="1"/>
  <c r="L48" i="1" s="1"/>
  <c r="M48" i="1" s="1"/>
  <c r="N48" i="1" l="1"/>
  <c r="O48" i="1"/>
  <c r="Q48" i="1" s="1"/>
  <c r="K49" i="1" s="1"/>
  <c r="L49" i="1" s="1"/>
  <c r="M49" i="1" s="1"/>
  <c r="N49" i="1" l="1"/>
  <c r="O49" i="1"/>
  <c r="Q49" i="1" s="1"/>
  <c r="K50" i="1" s="1"/>
  <c r="L50" i="1" s="1"/>
  <c r="M50" i="1" s="1"/>
  <c r="N50" i="1" l="1"/>
  <c r="O50" i="1"/>
  <c r="Q50" i="1" s="1"/>
  <c r="K51" i="1" s="1"/>
  <c r="L51" i="1" s="1"/>
  <c r="M51" i="1" s="1"/>
  <c r="N51" i="1" l="1"/>
  <c r="O51" i="1"/>
  <c r="Q51" i="1" s="1"/>
  <c r="K52" i="1" s="1"/>
  <c r="L52" i="1" s="1"/>
  <c r="M52" i="1" s="1"/>
  <c r="N52" i="1" l="1"/>
  <c r="O52" i="1"/>
  <c r="Q52" i="1" s="1"/>
  <c r="AJ14" i="1" l="1"/>
  <c r="AK4" i="1"/>
  <c r="AD5" i="1" s="1"/>
  <c r="AF5" i="1" l="1"/>
  <c r="AG5" i="1" s="1"/>
  <c r="AE5" i="1"/>
  <c r="AH5" i="1" l="1"/>
  <c r="AI5" i="1"/>
  <c r="AJ15" i="1" l="1"/>
  <c r="AK5" i="1"/>
  <c r="AD6" i="1" s="1"/>
  <c r="AL5" i="1"/>
  <c r="AF6" i="1" l="1"/>
  <c r="AG6" i="1" s="1"/>
  <c r="AI6" i="1" s="1"/>
  <c r="AE6" i="1"/>
  <c r="AJ16" i="1" l="1"/>
  <c r="AK6" i="1"/>
  <c r="AD7" i="1" s="1"/>
  <c r="AH6" i="1"/>
  <c r="AL6" i="1" s="1"/>
  <c r="AF7" i="1"/>
  <c r="AG7" i="1" s="1"/>
  <c r="AE7" i="1"/>
  <c r="AH7" i="1" l="1"/>
  <c r="AI7" i="1"/>
  <c r="AL7" i="1" s="1"/>
  <c r="AJ17" i="1" l="1"/>
  <c r="AK7" i="1"/>
  <c r="AD8" i="1" s="1"/>
  <c r="AF8" i="1" l="1"/>
  <c r="AG8" i="1" s="1"/>
  <c r="AE8" i="1"/>
  <c r="AI8" i="1" l="1"/>
  <c r="AJ18" i="1" s="1"/>
  <c r="AH8" i="1"/>
  <c r="AL8" i="1" s="1"/>
  <c r="AK8" i="1" l="1"/>
  <c r="AD9" i="1" s="1"/>
  <c r="AE9" i="1" s="1"/>
  <c r="AF9" i="1" l="1"/>
  <c r="AG9" i="1"/>
  <c r="AH9" i="1" s="1"/>
  <c r="AI9" i="1" l="1"/>
  <c r="AL9" i="1" s="1"/>
  <c r="AJ19" i="1" l="1"/>
  <c r="AK9" i="1"/>
  <c r="AD10" i="1" s="1"/>
  <c r="AF10" i="1" l="1"/>
  <c r="AG10" i="1"/>
  <c r="AH10" i="1" s="1"/>
  <c r="AE10" i="1"/>
  <c r="AI10" i="1" l="1"/>
  <c r="AL10" i="1" s="1"/>
  <c r="AJ20" i="1" l="1"/>
  <c r="AK10" i="1"/>
  <c r="AD11" i="1" s="1"/>
  <c r="AF11" i="1" l="1"/>
  <c r="AG11" i="1"/>
  <c r="AH11" i="1" s="1"/>
  <c r="AE11" i="1"/>
  <c r="AI11" i="1" l="1"/>
  <c r="AL11" i="1" s="1"/>
  <c r="AJ21" i="1" l="1"/>
  <c r="AK11" i="1"/>
  <c r="AD12" i="1" s="1"/>
  <c r="AF12" i="1" l="1"/>
  <c r="AG12" i="1"/>
  <c r="AH12" i="1" s="1"/>
  <c r="AE12" i="1"/>
  <c r="AI12" i="1" l="1"/>
  <c r="AL12" i="1" s="1"/>
  <c r="AJ22" i="1" l="1"/>
  <c r="AK12" i="1"/>
  <c r="AD13" i="1" s="1"/>
  <c r="AF13" i="1" l="1"/>
  <c r="AG13" i="1" s="1"/>
  <c r="AH13" i="1" s="1"/>
  <c r="AE13" i="1"/>
  <c r="AI13" i="1" l="1"/>
  <c r="AL13" i="1" s="1"/>
  <c r="AJ23" i="1" l="1"/>
  <c r="AK13" i="1"/>
  <c r="AD14" i="1" s="1"/>
  <c r="AE14" i="1" l="1"/>
  <c r="AF14" i="1"/>
  <c r="AG14" i="1" s="1"/>
  <c r="AH14" i="1" s="1"/>
  <c r="AI14" i="1" l="1"/>
  <c r="AL14" i="1" s="1"/>
  <c r="AJ24" i="1" l="1"/>
  <c r="AK14" i="1"/>
  <c r="AD15" i="1" s="1"/>
  <c r="AE15" i="1" l="1"/>
  <c r="AF15" i="1"/>
  <c r="AG15" i="1" s="1"/>
  <c r="AH15" i="1" s="1"/>
  <c r="AI15" i="1" l="1"/>
  <c r="AL15" i="1" s="1"/>
  <c r="AJ25" i="1" l="1"/>
  <c r="AK15" i="1"/>
  <c r="AD16" i="1" s="1"/>
  <c r="AE16" i="1" l="1"/>
  <c r="AF16" i="1"/>
  <c r="AG16" i="1" s="1"/>
  <c r="AH16" i="1" s="1"/>
  <c r="AI16" i="1" l="1"/>
  <c r="AL16" i="1" s="1"/>
  <c r="AJ26" i="1" l="1"/>
  <c r="AK16" i="1"/>
  <c r="AD17" i="1" s="1"/>
  <c r="AE17" i="1" l="1"/>
  <c r="AF17" i="1"/>
  <c r="AG17" i="1" s="1"/>
  <c r="AH17" i="1" s="1"/>
  <c r="AI17" i="1" l="1"/>
  <c r="AL17" i="1" s="1"/>
  <c r="AJ27" i="1" l="1"/>
  <c r="AK17" i="1"/>
  <c r="AD18" i="1" s="1"/>
  <c r="AE18" i="1" l="1"/>
  <c r="AF18" i="1"/>
  <c r="AG18" i="1" s="1"/>
  <c r="AH18" i="1" s="1"/>
  <c r="AI18" i="1" l="1"/>
  <c r="AL18" i="1" s="1"/>
  <c r="AJ28" i="1" l="1"/>
  <c r="AK18" i="1"/>
  <c r="AD19" i="1" s="1"/>
  <c r="AE19" i="1" l="1"/>
  <c r="AF19" i="1"/>
  <c r="AG19" i="1" s="1"/>
  <c r="AH19" i="1" s="1"/>
  <c r="AI19" i="1" l="1"/>
  <c r="AL19" i="1" s="1"/>
  <c r="AJ29" i="1" l="1"/>
  <c r="AK19" i="1"/>
  <c r="AD20" i="1" s="1"/>
  <c r="AF20" i="1" l="1"/>
  <c r="AG20" i="1" s="1"/>
  <c r="AH20" i="1" s="1"/>
  <c r="AE20" i="1"/>
  <c r="AI20" i="1" l="1"/>
  <c r="AL20" i="1" s="1"/>
  <c r="AJ30" i="1" l="1"/>
  <c r="AK20" i="1"/>
  <c r="AD21" i="1" s="1"/>
  <c r="AE21" i="1" l="1"/>
  <c r="AF21" i="1"/>
  <c r="AG21" i="1" s="1"/>
  <c r="AH21" i="1" s="1"/>
  <c r="AI21" i="1" l="1"/>
  <c r="AL21" i="1" s="1"/>
  <c r="AJ31" i="1" l="1"/>
  <c r="AK21" i="1"/>
  <c r="AD22" i="1" s="1"/>
  <c r="AE22" i="1" l="1"/>
  <c r="AF22" i="1"/>
  <c r="AG22" i="1" s="1"/>
  <c r="AH22" i="1" s="1"/>
  <c r="AI22" i="1" l="1"/>
  <c r="AL22" i="1" s="1"/>
  <c r="AJ32" i="1" l="1"/>
  <c r="AK22" i="1"/>
  <c r="AD23" i="1" s="1"/>
  <c r="AE23" i="1" l="1"/>
  <c r="AF23" i="1"/>
  <c r="AG23" i="1" s="1"/>
  <c r="AH23" i="1" s="1"/>
  <c r="AI23" i="1" l="1"/>
  <c r="AL23" i="1" s="1"/>
  <c r="AJ33" i="1" l="1"/>
  <c r="AK23" i="1"/>
  <c r="AD24" i="1" s="1"/>
  <c r="AE24" i="1" l="1"/>
  <c r="AF24" i="1"/>
  <c r="AG24" i="1" s="1"/>
  <c r="AH24" i="1" s="1"/>
  <c r="AI24" i="1" l="1"/>
  <c r="AL24" i="1" s="1"/>
  <c r="AJ34" i="1" l="1"/>
  <c r="AK24" i="1"/>
  <c r="AD25" i="1" s="1"/>
  <c r="AE25" i="1" l="1"/>
  <c r="AF25" i="1"/>
  <c r="AG25" i="1" s="1"/>
  <c r="AH25" i="1" s="1"/>
  <c r="AI25" i="1" l="1"/>
  <c r="AL25" i="1" s="1"/>
  <c r="AJ35" i="1" l="1"/>
  <c r="AK25" i="1"/>
  <c r="AD26" i="1" s="1"/>
  <c r="AE26" i="1" l="1"/>
  <c r="AF26" i="1"/>
  <c r="AG26" i="1" s="1"/>
  <c r="AH26" i="1" s="1"/>
  <c r="AI26" i="1" l="1"/>
  <c r="AL26" i="1" s="1"/>
  <c r="AJ36" i="1" l="1"/>
  <c r="AK26" i="1"/>
  <c r="AD27" i="1" s="1"/>
  <c r="AE27" i="1" l="1"/>
  <c r="AF27" i="1"/>
  <c r="AG27" i="1" s="1"/>
  <c r="AH27" i="1" s="1"/>
  <c r="AI27" i="1" l="1"/>
  <c r="AL27" i="1" s="1"/>
  <c r="AJ37" i="1" l="1"/>
  <c r="AK27" i="1"/>
  <c r="AD28" i="1" s="1"/>
  <c r="AE28" i="1" l="1"/>
  <c r="AF28" i="1"/>
  <c r="AG28" i="1" s="1"/>
  <c r="AH28" i="1" s="1"/>
  <c r="AI28" i="1" l="1"/>
  <c r="AL28" i="1" s="1"/>
  <c r="AJ38" i="1" l="1"/>
  <c r="AK28" i="1"/>
  <c r="AD29" i="1" s="1"/>
  <c r="AE29" i="1" l="1"/>
  <c r="AF29" i="1"/>
  <c r="AG29" i="1" s="1"/>
  <c r="AH29" i="1" s="1"/>
  <c r="AI29" i="1" l="1"/>
  <c r="AL29" i="1" s="1"/>
  <c r="AJ39" i="1" l="1"/>
  <c r="AK29" i="1"/>
  <c r="AD30" i="1" s="1"/>
  <c r="AE30" i="1" l="1"/>
  <c r="AF30" i="1"/>
  <c r="AG30" i="1" s="1"/>
  <c r="AH30" i="1" s="1"/>
  <c r="AI30" i="1" l="1"/>
  <c r="AL30" i="1" s="1"/>
  <c r="AJ40" i="1" l="1"/>
  <c r="AK30" i="1"/>
  <c r="AD31" i="1" s="1"/>
  <c r="AE31" i="1" l="1"/>
  <c r="AF31" i="1"/>
  <c r="AG31" i="1" s="1"/>
  <c r="AH31" i="1" s="1"/>
  <c r="AI31" i="1" l="1"/>
  <c r="AL31" i="1" s="1"/>
  <c r="AJ41" i="1" l="1"/>
  <c r="AK31" i="1"/>
  <c r="AD32" i="1" s="1"/>
  <c r="AF32" i="1" l="1"/>
  <c r="AG32" i="1" s="1"/>
  <c r="AH32" i="1" s="1"/>
  <c r="AE32" i="1"/>
  <c r="AI32" i="1" l="1"/>
  <c r="AL32" i="1" s="1"/>
  <c r="AJ42" i="1" l="1"/>
  <c r="AK32" i="1"/>
  <c r="AD33" i="1" s="1"/>
  <c r="AE33" i="1" l="1"/>
  <c r="AF33" i="1"/>
  <c r="AG33" i="1" s="1"/>
  <c r="AH33" i="1" s="1"/>
  <c r="AI33" i="1" l="1"/>
  <c r="AL33" i="1" s="1"/>
  <c r="AJ43" i="1" l="1"/>
  <c r="AK33" i="1"/>
  <c r="AD34" i="1" s="1"/>
  <c r="AE34" i="1" l="1"/>
  <c r="AF34" i="1"/>
  <c r="AG34" i="1" s="1"/>
  <c r="AH34" i="1" s="1"/>
  <c r="AI34" i="1" l="1"/>
  <c r="AL34" i="1" s="1"/>
  <c r="AJ44" i="1" l="1"/>
  <c r="AK34" i="1"/>
  <c r="AD35" i="1" s="1"/>
  <c r="AE35" i="1" l="1"/>
  <c r="AF35" i="1"/>
  <c r="AG35" i="1" s="1"/>
  <c r="AH35" i="1" s="1"/>
  <c r="AI35" i="1" l="1"/>
  <c r="AL35" i="1" s="1"/>
  <c r="AJ45" i="1" l="1"/>
  <c r="AK35" i="1"/>
  <c r="AD36" i="1" s="1"/>
  <c r="AE36" i="1" l="1"/>
  <c r="AF36" i="1"/>
  <c r="AG36" i="1" s="1"/>
  <c r="AH36" i="1" s="1"/>
  <c r="AI36" i="1" l="1"/>
  <c r="AL36" i="1" s="1"/>
  <c r="AJ46" i="1" l="1"/>
  <c r="AK36" i="1"/>
  <c r="AD37" i="1" s="1"/>
  <c r="AE37" i="1" l="1"/>
  <c r="AF37" i="1"/>
  <c r="AG37" i="1" s="1"/>
  <c r="AH37" i="1" s="1"/>
  <c r="AI37" i="1" l="1"/>
  <c r="AL37" i="1" s="1"/>
  <c r="AJ47" i="1" l="1"/>
  <c r="AK37" i="1"/>
  <c r="AD38" i="1" s="1"/>
  <c r="AF38" i="1" l="1"/>
  <c r="AG38" i="1" s="1"/>
  <c r="AH38" i="1" s="1"/>
  <c r="AE38" i="1"/>
  <c r="AI38" i="1" l="1"/>
  <c r="AL38" i="1" s="1"/>
  <c r="AJ48" i="1" l="1"/>
  <c r="AK38" i="1"/>
  <c r="AD39" i="1" s="1"/>
  <c r="AE39" i="1" l="1"/>
  <c r="AF39" i="1"/>
  <c r="AG39" i="1" s="1"/>
  <c r="AH39" i="1" s="1"/>
  <c r="AI39" i="1" l="1"/>
  <c r="AL39" i="1" s="1"/>
  <c r="AJ49" i="1" l="1"/>
  <c r="AK39" i="1"/>
  <c r="AD40" i="1" s="1"/>
  <c r="AE40" i="1" l="1"/>
  <c r="AF40" i="1"/>
  <c r="AG40" i="1" s="1"/>
  <c r="AH40" i="1" s="1"/>
  <c r="AI40" i="1" l="1"/>
  <c r="AL40" i="1" s="1"/>
  <c r="AJ50" i="1" l="1"/>
  <c r="AK40" i="1"/>
  <c r="AD41" i="1" s="1"/>
  <c r="AE41" i="1" l="1"/>
  <c r="AF41" i="1"/>
  <c r="AG41" i="1" s="1"/>
  <c r="AH41" i="1" s="1"/>
  <c r="AI41" i="1" l="1"/>
  <c r="AL41" i="1" s="1"/>
  <c r="AJ51" i="1" l="1"/>
  <c r="AK41" i="1"/>
  <c r="AD42" i="1" s="1"/>
  <c r="AE42" i="1" l="1"/>
  <c r="AF42" i="1"/>
  <c r="AG42" i="1" s="1"/>
  <c r="AH42" i="1" s="1"/>
  <c r="AI42" i="1" l="1"/>
  <c r="AL42" i="1" s="1"/>
  <c r="AJ52" i="1" l="1"/>
  <c r="AK42" i="1"/>
  <c r="AD43" i="1" s="1"/>
  <c r="AF43" i="1" l="1"/>
  <c r="AG43" i="1" s="1"/>
  <c r="AH43" i="1" s="1"/>
  <c r="AE43" i="1"/>
  <c r="AI43" i="1" l="1"/>
  <c r="AK43" i="1" s="1"/>
  <c r="AD44" i="1" s="1"/>
  <c r="AL43" i="1" l="1"/>
  <c r="AF44" i="1"/>
  <c r="AE44" i="1"/>
  <c r="AG44" i="1" l="1"/>
  <c r="AH44" i="1" s="1"/>
  <c r="AI44" i="1" l="1"/>
  <c r="AK44" i="1" s="1"/>
  <c r="AD45" i="1" s="1"/>
  <c r="AL44" i="1" l="1"/>
  <c r="AE45" i="1"/>
  <c r="AF45" i="1"/>
  <c r="AG45" i="1" s="1"/>
  <c r="AH45" i="1" s="1"/>
  <c r="AI45" i="1" l="1"/>
  <c r="AK45" i="1" s="1"/>
  <c r="AD46" i="1" s="1"/>
  <c r="AL45" i="1" l="1"/>
  <c r="AE46" i="1"/>
  <c r="AF46" i="1"/>
  <c r="AG46" i="1" s="1"/>
  <c r="AH46" i="1" s="1"/>
  <c r="AI46" i="1" l="1"/>
  <c r="AK46" i="1" s="1"/>
  <c r="AD47" i="1" s="1"/>
  <c r="AL46" i="1" l="1"/>
  <c r="AE47" i="1"/>
  <c r="AF47" i="1"/>
  <c r="AG47" i="1" l="1"/>
  <c r="AH47" i="1" s="1"/>
  <c r="AI47" i="1" l="1"/>
  <c r="AK47" i="1" s="1"/>
  <c r="AD48" i="1" s="1"/>
  <c r="AL47" i="1" l="1"/>
  <c r="AE48" i="1"/>
  <c r="AF48" i="1"/>
  <c r="AG48" i="1" s="1"/>
  <c r="AH48" i="1" s="1"/>
  <c r="AI48" i="1" l="1"/>
  <c r="AK48" i="1" s="1"/>
  <c r="AD49" i="1" s="1"/>
  <c r="AL48" i="1" l="1"/>
  <c r="AE49" i="1"/>
  <c r="AF49" i="1"/>
  <c r="AG49" i="1" s="1"/>
  <c r="AH49" i="1" l="1"/>
  <c r="AI49" i="1"/>
  <c r="AK49" i="1" s="1"/>
  <c r="AD50" i="1" s="1"/>
  <c r="AL49" i="1" l="1"/>
  <c r="AF50" i="1"/>
  <c r="AE50" i="1"/>
  <c r="AG50" i="1" l="1"/>
  <c r="AH50" i="1" s="1"/>
  <c r="AI50" i="1" l="1"/>
  <c r="AK50" i="1" s="1"/>
  <c r="AD51" i="1" s="1"/>
  <c r="AL50" i="1" l="1"/>
  <c r="AE51" i="1"/>
  <c r="AF51" i="1"/>
  <c r="AG51" i="1" s="1"/>
  <c r="AH51" i="1" l="1"/>
  <c r="AI51" i="1"/>
  <c r="AK51" i="1" s="1"/>
  <c r="AD52" i="1" s="1"/>
  <c r="AL51" i="1" l="1"/>
  <c r="AE52" i="1"/>
  <c r="AF52" i="1"/>
  <c r="AG52" i="1" s="1"/>
  <c r="AH52" i="1" s="1"/>
  <c r="AI52" i="1" l="1"/>
  <c r="AK52" i="1" s="1"/>
  <c r="AL52" i="1" l="1"/>
</calcChain>
</file>

<file path=xl/sharedStrings.xml><?xml version="1.0" encoding="utf-8"?>
<sst xmlns="http://schemas.openxmlformats.org/spreadsheetml/2006/main" count="51" uniqueCount="19">
  <si>
    <t>Год</t>
  </si>
  <si>
    <t>Количество тракторов на начало года</t>
  </si>
  <si>
    <t>Первоначальная стоимость основных средств на начало года</t>
  </si>
  <si>
    <t>Накопленная сумма амортизации</t>
  </si>
  <si>
    <t>Количество приобретаемых тракторов за счет накопленной амортизации*</t>
  </si>
  <si>
    <t>Количество тракторов на конец года</t>
  </si>
  <si>
    <t>Годовая сумма амортизационных отчислений</t>
  </si>
  <si>
    <t>Количество списываемых (выбывающих) тракторов</t>
  </si>
  <si>
    <t>Линейный метод</t>
  </si>
  <si>
    <t>Метод уменьшающегося остатка</t>
  </si>
  <si>
    <t>Формула для нормы амортизации при МУО</t>
  </si>
  <si>
    <t>"= (1 / Срок полезного использования (СПИ)) * Коэффициент ускорения * 100</t>
  </si>
  <si>
    <t>Средняя остаточная стоимость одного трактора на начало года</t>
  </si>
  <si>
    <t>Накоп. амортизация после покупки</t>
  </si>
  <si>
    <t>Метод суммы чисел</t>
  </si>
  <si>
    <t>Сумма чисел лет (СЧЛ)</t>
  </si>
  <si>
    <t xml:space="preserve"> </t>
  </si>
  <si>
    <t>Линейный метод  амортизации с коэффициентом 1,5</t>
  </si>
  <si>
    <t>Линейный метод  амортизации с коэффициентом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</si>
</sst>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₽&quot;_-;\-* #,##0\ &quot;₽&quot;_-;_-* &quot;-&quot;\ &quot;₽&quot;_-;_-@_-"/>
    <numFmt numFmtId="164" formatCode="#,##0\ &quot;₽&quot;"/>
    <numFmt numFmtId="165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Fill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6" xfId="0" applyFont="1" applyFill="1" applyBorder="1" applyAlignment="1">
      <alignment vertical="center"/>
    </xf>
    <xf numFmtId="0" fontId="1" fillId="0" borderId="0" xfId="0" applyFont="1" applyFill="1"/>
    <xf numFmtId="42" fontId="1" fillId="0" borderId="0" xfId="0" applyNumberFormat="1" applyFont="1" applyFill="1"/>
    <xf numFmtId="0" fontId="4" fillId="0" borderId="2" xfId="0" applyFont="1" applyFill="1" applyBorder="1" applyAlignment="1">
      <alignment vertical="center" textRotation="90" wrapText="1"/>
    </xf>
    <xf numFmtId="164" fontId="4" fillId="0" borderId="2" xfId="0" applyNumberFormat="1" applyFont="1" applyFill="1" applyBorder="1" applyAlignment="1">
      <alignment vertical="center" textRotation="90" wrapText="1"/>
    </xf>
    <xf numFmtId="0" fontId="4" fillId="0" borderId="1" xfId="0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vertical="center" wrapText="1"/>
    </xf>
    <xf numFmtId="42" fontId="4" fillId="0" borderId="1" xfId="0" applyNumberFormat="1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42" fontId="1" fillId="0" borderId="3" xfId="0" applyNumberFormat="1" applyFont="1" applyFill="1" applyBorder="1"/>
    <xf numFmtId="165" fontId="1" fillId="0" borderId="0" xfId="0" applyNumberFormat="1" applyFont="1" applyFill="1"/>
    <xf numFmtId="0" fontId="4" fillId="0" borderId="2" xfId="0" applyFont="1" applyFill="1" applyBorder="1" applyAlignment="1">
      <alignment vertical="center" wrapText="1"/>
    </xf>
    <xf numFmtId="164" fontId="4" fillId="0" borderId="2" xfId="0" applyNumberFormat="1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164" fontId="4" fillId="0" borderId="3" xfId="0" applyNumberFormat="1" applyFont="1" applyFill="1" applyBorder="1" applyAlignment="1">
      <alignment vertical="center" wrapText="1"/>
    </xf>
    <xf numFmtId="164" fontId="1" fillId="0" borderId="0" xfId="0" applyNumberFormat="1" applyFont="1" applyFill="1"/>
    <xf numFmtId="42" fontId="4" fillId="0" borderId="2" xfId="0" applyNumberFormat="1" applyFont="1" applyFill="1" applyBorder="1" applyAlignment="1">
      <alignment vertical="center" textRotation="90" wrapText="1"/>
    </xf>
    <xf numFmtId="164" fontId="1" fillId="0" borderId="0" xfId="0" applyNumberFormat="1" applyFont="1" applyFill="1" applyAlignment="1">
      <alignment horizontal="center" vertical="center" textRotation="90" wrapText="1"/>
    </xf>
    <xf numFmtId="164" fontId="4" fillId="0" borderId="2" xfId="0" applyNumberFormat="1" applyFont="1" applyFill="1" applyBorder="1" applyAlignment="1">
      <alignment horizontal="center" vertical="center" textRotation="90" wrapText="1"/>
    </xf>
    <xf numFmtId="0" fontId="2" fillId="0" borderId="0" xfId="0" applyFont="1" applyFill="1" applyAlignment="1">
      <alignment textRotation="90" wrapText="1"/>
    </xf>
    <xf numFmtId="0" fontId="5" fillId="0" borderId="0" xfId="0" applyFont="1" applyFill="1" applyAlignment="1">
      <alignment horizontal="center" vertical="center" wrapText="1"/>
    </xf>
    <xf numFmtId="3" fontId="4" fillId="0" borderId="1" xfId="0" applyNumberFormat="1" applyFont="1" applyFill="1" applyBorder="1" applyAlignment="1">
      <alignment vertical="center" wrapText="1"/>
    </xf>
    <xf numFmtId="164" fontId="1" fillId="0" borderId="3" xfId="0" applyNumberFormat="1" applyFont="1" applyFill="1" applyBorder="1"/>
    <xf numFmtId="0" fontId="2" fillId="0" borderId="0" xfId="0" applyFont="1" applyFill="1" applyAlignment="1">
      <alignment vertical="center" wrapText="1"/>
    </xf>
    <xf numFmtId="3" fontId="4" fillId="0" borderId="2" xfId="0" applyNumberFormat="1" applyFont="1" applyFill="1" applyBorder="1" applyAlignment="1">
      <alignment vertical="center" wrapText="1"/>
    </xf>
    <xf numFmtId="3" fontId="4" fillId="0" borderId="3" xfId="0" applyNumberFormat="1" applyFont="1" applyFill="1" applyBorder="1" applyAlignment="1">
      <alignment vertical="center" wrapText="1"/>
    </xf>
    <xf numFmtId="0" fontId="3" fillId="0" borderId="0" xfId="0" applyFont="1" applyFill="1"/>
    <xf numFmtId="0" fontId="6" fillId="0" borderId="0" xfId="0" applyFont="1" applyFill="1" applyAlignment="1">
      <alignment vertical="center" wrapText="1"/>
    </xf>
    <xf numFmtId="164" fontId="1" fillId="0" borderId="0" xfId="0" applyNumberFormat="1" applyFont="1" applyFill="1" applyAlignment="1">
      <alignment horizontal="center"/>
    </xf>
    <xf numFmtId="164" fontId="4" fillId="0" borderId="7" xfId="0" applyNumberFormat="1" applyFont="1" applyFill="1" applyBorder="1" applyAlignment="1">
      <alignment vertical="center" textRotation="90" wrapText="1"/>
    </xf>
    <xf numFmtId="164" fontId="4" fillId="0" borderId="8" xfId="0" applyNumberFormat="1" applyFont="1" applyFill="1" applyBorder="1" applyAlignment="1">
      <alignment vertical="center" wrapText="1"/>
    </xf>
    <xf numFmtId="164" fontId="4" fillId="0" borderId="7" xfId="0" applyNumberFormat="1" applyFont="1" applyFill="1" applyBorder="1" applyAlignment="1">
      <alignment vertical="center" wrapText="1"/>
    </xf>
    <xf numFmtId="164" fontId="4" fillId="0" borderId="9" xfId="0" applyNumberFormat="1" applyFont="1" applyFill="1" applyBorder="1" applyAlignment="1">
      <alignment vertical="center" wrapText="1"/>
    </xf>
    <xf numFmtId="164" fontId="4" fillId="0" borderId="10" xfId="0" applyNumberFormat="1" applyFont="1" applyFill="1" applyBorder="1" applyAlignment="1">
      <alignment vertical="center" textRotation="90" wrapText="1"/>
    </xf>
    <xf numFmtId="164" fontId="4" fillId="0" borderId="11" xfId="0" applyNumberFormat="1" applyFont="1" applyFill="1" applyBorder="1" applyAlignment="1">
      <alignment vertical="center" wrapText="1"/>
    </xf>
    <xf numFmtId="164" fontId="1" fillId="0" borderId="3" xfId="0" applyNumberFormat="1" applyFont="1" applyFill="1" applyBorder="1" applyAlignment="1">
      <alignment horizontal="center" vertical="center" textRotation="90" wrapText="1"/>
    </xf>
    <xf numFmtId="0" fontId="7" fillId="0" borderId="4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5"/>
  <sheetViews>
    <sheetView tabSelected="1" topLeftCell="B1" zoomScale="93" zoomScaleNormal="115" workbookViewId="0">
      <selection activeCell="AS3" sqref="AS3"/>
    </sheetView>
  </sheetViews>
  <sheetFormatPr defaultRowHeight="15" x14ac:dyDescent="0.25"/>
  <cols>
    <col min="1" max="2" width="9.140625" style="5"/>
    <col min="3" max="3" width="13.85546875" style="20" bestFit="1" customWidth="1"/>
    <col min="4" max="4" width="12.42578125" style="20" bestFit="1" customWidth="1"/>
    <col min="5" max="5" width="14.28515625" style="20" bestFit="1" customWidth="1"/>
    <col min="6" max="6" width="13.28515625" style="5" bestFit="1" customWidth="1"/>
    <col min="7" max="9" width="9.140625" style="5"/>
    <col min="10" max="10" width="11.85546875" style="20" bestFit="1" customWidth="1"/>
    <col min="11" max="11" width="9.140625" style="5"/>
    <col min="12" max="12" width="20.5703125" style="5" bestFit="1" customWidth="1"/>
    <col min="13" max="13" width="19.42578125" style="5" bestFit="1" customWidth="1"/>
    <col min="14" max="14" width="13.7109375" style="6" bestFit="1" customWidth="1"/>
    <col min="15" max="15" width="9.140625" style="5"/>
    <col min="16" max="16" width="11.85546875" style="5" bestFit="1" customWidth="1"/>
    <col min="17" max="17" width="14.7109375" style="5" customWidth="1"/>
    <col min="18" max="18" width="13.7109375" style="5" bestFit="1" customWidth="1"/>
    <col min="19" max="19" width="9.140625" style="5"/>
    <col min="20" max="20" width="9.28515625" style="5" bestFit="1" customWidth="1"/>
    <col min="21" max="22" width="20.5703125" style="5" bestFit="1" customWidth="1"/>
    <col min="23" max="23" width="21.7109375" style="6" bestFit="1" customWidth="1"/>
    <col min="24" max="24" width="9.28515625" style="5" bestFit="1" customWidth="1"/>
    <col min="25" max="25" width="9.140625" style="5"/>
    <col min="26" max="26" width="10.28515625" style="5" bestFit="1" customWidth="1"/>
    <col min="27" max="29" width="9.140625" style="5"/>
    <col min="30" max="30" width="16.28515625" style="5" bestFit="1" customWidth="1"/>
    <col min="31" max="31" width="20.5703125" style="5" bestFit="1" customWidth="1"/>
    <col min="32" max="32" width="18.85546875" style="5" bestFit="1" customWidth="1"/>
    <col min="33" max="33" width="30.85546875" style="5" bestFit="1" customWidth="1"/>
    <col min="34" max="34" width="11.5703125" style="5" bestFit="1" customWidth="1"/>
    <col min="35" max="37" width="9.140625" style="5"/>
    <col min="38" max="38" width="11.5703125" style="5" bestFit="1" customWidth="1"/>
    <col min="39" max="39" width="9.140625" style="5"/>
    <col min="40" max="40" width="12.5703125" style="5" customWidth="1"/>
    <col min="41" max="43" width="9.140625" style="5"/>
    <col min="44" max="44" width="12.7109375" style="5" bestFit="1" customWidth="1"/>
    <col min="45" max="45" width="11.5703125" style="5" bestFit="1" customWidth="1"/>
    <col min="46" max="46" width="14" style="5" bestFit="1" customWidth="1"/>
    <col min="47" max="50" width="9.140625" style="5"/>
    <col min="51" max="51" width="19" style="5" customWidth="1"/>
    <col min="52" max="16384" width="9.140625" style="5"/>
  </cols>
  <sheetData>
    <row r="1" spans="1:52" ht="26.25" x14ac:dyDescent="0.4">
      <c r="A1" s="42" t="s">
        <v>8</v>
      </c>
      <c r="B1" s="42"/>
      <c r="C1" s="42"/>
      <c r="D1" s="42"/>
      <c r="E1" s="42"/>
      <c r="F1" s="42"/>
      <c r="G1" s="42"/>
      <c r="H1" s="42"/>
      <c r="J1" s="42" t="s">
        <v>17</v>
      </c>
      <c r="K1" s="42"/>
      <c r="L1" s="42"/>
      <c r="M1" s="42"/>
      <c r="N1" s="42"/>
      <c r="O1" s="42"/>
      <c r="P1" s="42"/>
      <c r="Q1" s="42"/>
      <c r="S1" s="41" t="s">
        <v>18</v>
      </c>
      <c r="T1" s="41"/>
      <c r="U1" s="41"/>
      <c r="V1" s="41"/>
      <c r="W1" s="41"/>
      <c r="X1" s="41"/>
      <c r="Y1" s="41"/>
      <c r="Z1" s="41"/>
      <c r="AC1" s="42" t="s">
        <v>9</v>
      </c>
      <c r="AD1" s="42"/>
      <c r="AE1" s="42"/>
      <c r="AF1" s="43"/>
      <c r="AG1" s="42"/>
      <c r="AH1" s="42"/>
      <c r="AI1" s="42"/>
      <c r="AJ1" s="42"/>
      <c r="AL1" s="20"/>
      <c r="AP1" s="42" t="s">
        <v>14</v>
      </c>
      <c r="AQ1" s="42"/>
      <c r="AR1" s="42"/>
      <c r="AS1" s="42"/>
      <c r="AT1" s="42"/>
      <c r="AU1" s="42"/>
      <c r="AV1" s="42"/>
      <c r="AW1" s="42"/>
      <c r="AY1" s="6"/>
    </row>
    <row r="2" spans="1:52" ht="143.44999999999999" customHeight="1" x14ac:dyDescent="0.25">
      <c r="A2" s="7" t="s">
        <v>0</v>
      </c>
      <c r="B2" s="7" t="s">
        <v>1</v>
      </c>
      <c r="C2" s="8" t="s">
        <v>2</v>
      </c>
      <c r="D2" s="8" t="s">
        <v>6</v>
      </c>
      <c r="E2" s="8" t="s">
        <v>3</v>
      </c>
      <c r="F2" s="7" t="s">
        <v>4</v>
      </c>
      <c r="G2" s="7" t="s">
        <v>7</v>
      </c>
      <c r="H2" s="7" t="s">
        <v>5</v>
      </c>
      <c r="J2" s="8" t="s">
        <v>0</v>
      </c>
      <c r="K2" s="7" t="s">
        <v>1</v>
      </c>
      <c r="L2" s="8" t="s">
        <v>2</v>
      </c>
      <c r="M2" s="8" t="s">
        <v>6</v>
      </c>
      <c r="N2" s="21" t="s">
        <v>3</v>
      </c>
      <c r="O2" s="7" t="s">
        <v>4</v>
      </c>
      <c r="P2" s="7" t="s">
        <v>7</v>
      </c>
      <c r="Q2" s="7" t="s">
        <v>5</v>
      </c>
      <c r="S2" s="7" t="s">
        <v>0</v>
      </c>
      <c r="T2" s="7" t="s">
        <v>1</v>
      </c>
      <c r="U2" s="8" t="s">
        <v>2</v>
      </c>
      <c r="V2" s="8" t="s">
        <v>6</v>
      </c>
      <c r="W2" s="21" t="s">
        <v>3</v>
      </c>
      <c r="X2" s="7" t="s">
        <v>4</v>
      </c>
      <c r="Y2" s="7" t="s">
        <v>7</v>
      </c>
      <c r="Z2" s="7" t="s">
        <v>5</v>
      </c>
      <c r="AC2" s="7" t="s">
        <v>0</v>
      </c>
      <c r="AD2" s="7" t="s">
        <v>1</v>
      </c>
      <c r="AE2" s="34" t="s">
        <v>2</v>
      </c>
      <c r="AF2" s="40" t="s">
        <v>12</v>
      </c>
      <c r="AG2" s="38" t="s">
        <v>6</v>
      </c>
      <c r="AH2" s="23" t="s">
        <v>3</v>
      </c>
      <c r="AI2" s="7" t="s">
        <v>4</v>
      </c>
      <c r="AJ2" s="7" t="s">
        <v>7</v>
      </c>
      <c r="AK2" s="7" t="s">
        <v>5</v>
      </c>
      <c r="AL2" s="22" t="s">
        <v>13</v>
      </c>
      <c r="AM2" s="24" t="s">
        <v>10</v>
      </c>
      <c r="AN2" s="25" t="s">
        <v>11</v>
      </c>
      <c r="AP2" s="7" t="s">
        <v>0</v>
      </c>
      <c r="AQ2" s="7" t="s">
        <v>1</v>
      </c>
      <c r="AR2" s="8" t="s">
        <v>2</v>
      </c>
      <c r="AS2" s="8" t="s">
        <v>6</v>
      </c>
      <c r="AT2" s="8" t="s">
        <v>3</v>
      </c>
      <c r="AU2" s="7" t="s">
        <v>4</v>
      </c>
      <c r="AV2" s="7" t="s">
        <v>7</v>
      </c>
      <c r="AW2" s="7" t="s">
        <v>5</v>
      </c>
      <c r="AY2" s="6"/>
    </row>
    <row r="3" spans="1:52" x14ac:dyDescent="0.25">
      <c r="A3" s="9">
        <v>1</v>
      </c>
      <c r="B3" s="9">
        <v>5</v>
      </c>
      <c r="C3" s="10">
        <f>B3*10000000</f>
        <v>50000000</v>
      </c>
      <c r="D3" s="10">
        <f>C3/10</f>
        <v>5000000</v>
      </c>
      <c r="E3" s="10">
        <f>D3</f>
        <v>5000000</v>
      </c>
      <c r="F3" s="9">
        <f>IF(E3/10000000&gt;=1,INT(E3/10000000),0)</f>
        <v>0</v>
      </c>
      <c r="G3" s="9">
        <v>0</v>
      </c>
      <c r="H3" s="9">
        <f>B3+F3-G3</f>
        <v>5</v>
      </c>
      <c r="J3" s="26">
        <v>1</v>
      </c>
      <c r="K3" s="9">
        <v>1</v>
      </c>
      <c r="L3" s="10">
        <f>K3*10000000</f>
        <v>10000000</v>
      </c>
      <c r="M3" s="10">
        <f>L3/10*1.5</f>
        <v>1500000</v>
      </c>
      <c r="N3" s="11">
        <f>M3</f>
        <v>1500000</v>
      </c>
      <c r="O3" s="9">
        <f>IF(N3/10000000&gt;=1,INT(N3/10000000),0)</f>
        <v>0</v>
      </c>
      <c r="P3" s="9">
        <v>0</v>
      </c>
      <c r="Q3" s="9">
        <f>K3+O3-P3</f>
        <v>1</v>
      </c>
      <c r="S3" s="9">
        <v>1</v>
      </c>
      <c r="T3" s="9">
        <v>1</v>
      </c>
      <c r="U3" s="10">
        <f>T3*10000000</f>
        <v>10000000</v>
      </c>
      <c r="V3" s="10">
        <f>U3/10*2</f>
        <v>2000000</v>
      </c>
      <c r="W3" s="11">
        <f>V3</f>
        <v>2000000</v>
      </c>
      <c r="X3" s="9">
        <f>IF(W3/10000000&gt;=1,INT(W3/10000000),0)</f>
        <v>0</v>
      </c>
      <c r="Y3" s="9">
        <v>0</v>
      </c>
      <c r="Z3" s="9">
        <f>T3+X3-Y3</f>
        <v>1</v>
      </c>
      <c r="AC3" s="9">
        <v>1</v>
      </c>
      <c r="AD3" s="9">
        <v>1</v>
      </c>
      <c r="AE3" s="35">
        <f>AD3*10000000</f>
        <v>10000000</v>
      </c>
      <c r="AF3" s="27">
        <f>AE3</f>
        <v>10000000</v>
      </c>
      <c r="AG3" s="39">
        <f>AD3*AF3*$AM$4</f>
        <v>2000000</v>
      </c>
      <c r="AH3" s="10">
        <f>AG3</f>
        <v>2000000</v>
      </c>
      <c r="AI3" s="9">
        <f>IF(AH3/10000000&gt;=1,INT(AH3/10000000),0)</f>
        <v>0</v>
      </c>
      <c r="AJ3" s="9">
        <v>0</v>
      </c>
      <c r="AK3" s="9">
        <f t="shared" ref="AK3:AK34" si="0">AD3+AI3-AJ3</f>
        <v>1</v>
      </c>
      <c r="AL3" s="20">
        <f>AH3-(AI3*10000000)</f>
        <v>2000000</v>
      </c>
      <c r="AP3" s="9">
        <v>1</v>
      </c>
      <c r="AQ3" s="9">
        <v>1</v>
      </c>
      <c r="AR3" s="10">
        <f>AQ3*10000000</f>
        <v>10000000</v>
      </c>
      <c r="AS3" s="10">
        <f>10000000*(AY5/$AZ$3)</f>
        <v>1818181.8181818181</v>
      </c>
      <c r="AT3" s="11">
        <f>AS3</f>
        <v>1818181.8181818181</v>
      </c>
      <c r="AU3" s="9">
        <f>IF(AT3/10000000&gt;=1,INT(AT3/10000000),0)</f>
        <v>0</v>
      </c>
      <c r="AV3" s="9">
        <v>0</v>
      </c>
      <c r="AW3" s="9">
        <f>AQ3+AU3-AV3</f>
        <v>1</v>
      </c>
      <c r="AX3" s="12" t="s">
        <v>15</v>
      </c>
      <c r="AY3" s="13"/>
      <c r="AZ3" s="5">
        <f>1+2+3+4+5+6+7+8+9+10</f>
        <v>55</v>
      </c>
    </row>
    <row r="4" spans="1:52" x14ac:dyDescent="0.25">
      <c r="A4" s="9">
        <v>2</v>
      </c>
      <c r="B4" s="9">
        <f>H3</f>
        <v>5</v>
      </c>
      <c r="C4" s="10">
        <f>B4*10000000</f>
        <v>50000000</v>
      </c>
      <c r="D4" s="10">
        <f t="shared" ref="D4:D52" si="1">C4/10</f>
        <v>5000000</v>
      </c>
      <c r="E4" s="14">
        <f>IF(E3&gt;=10000000,D4+E3-10000000*F3,D4+E3)</f>
        <v>10000000</v>
      </c>
      <c r="F4" s="9">
        <f>IF((D4+E3-F3*10000000)/10000000&gt;=1,INT((D4+E3-F3*10000000)/10000000),0)</f>
        <v>1</v>
      </c>
      <c r="G4" s="9">
        <v>0</v>
      </c>
      <c r="H4" s="9">
        <f>B4+F4-G4</f>
        <v>6</v>
      </c>
      <c r="J4" s="26">
        <v>2</v>
      </c>
      <c r="K4" s="9">
        <f>Q3</f>
        <v>1</v>
      </c>
      <c r="L4" s="10">
        <f>K4*10000000</f>
        <v>10000000</v>
      </c>
      <c r="M4" s="10">
        <f t="shared" ref="M4:M52" si="2">L4/10*1.5</f>
        <v>1500000</v>
      </c>
      <c r="N4" s="14">
        <f>IF(N3&gt;=10000000,M4+N3-10000000*O3,M4+N3)</f>
        <v>3000000</v>
      </c>
      <c r="O4" s="9">
        <f>IF((M4+N3-O3*10000000)/10000000&gt;=1,INT((M4+N3-O3*10000000)/10000000),0)</f>
        <v>0</v>
      </c>
      <c r="P4" s="9">
        <v>0</v>
      </c>
      <c r="Q4" s="9">
        <f>K4+O4-P4</f>
        <v>1</v>
      </c>
      <c r="S4" s="9">
        <v>2</v>
      </c>
      <c r="T4" s="9">
        <f>Z3</f>
        <v>1</v>
      </c>
      <c r="U4" s="10">
        <f>T4*10000000</f>
        <v>10000000</v>
      </c>
      <c r="V4" s="10">
        <f t="shared" ref="V4:V52" si="3">U4/10*2</f>
        <v>2000000</v>
      </c>
      <c r="W4" s="14">
        <f t="shared" ref="W4" si="4">IF(W3&gt;=10000000,V4+W3-10000000*X3,V4+W3)</f>
        <v>4000000</v>
      </c>
      <c r="X4" s="9">
        <f>IF((V4+W3-X3*10000000)/10000000&gt;=1,INT((V4+W3-X3*10000000)/10000000),0)</f>
        <v>0</v>
      </c>
      <c r="Y4" s="9">
        <v>0</v>
      </c>
      <c r="Z4" s="9">
        <f>T4+X4-Y4</f>
        <v>1</v>
      </c>
      <c r="AC4" s="9">
        <v>2</v>
      </c>
      <c r="AD4" s="9">
        <f t="shared" ref="AD4:AD12" si="5">AK3</f>
        <v>1</v>
      </c>
      <c r="AE4" s="35">
        <f>AD4*10000000</f>
        <v>10000000</v>
      </c>
      <c r="AF4" s="27">
        <f>IF(AD4&gt;0,((AF3*AD3-AG3+(AI3*10000000))/AD4),0)</f>
        <v>8000000</v>
      </c>
      <c r="AG4" s="39">
        <f>AD4*AF4*$AM$4</f>
        <v>1600000</v>
      </c>
      <c r="AH4" s="27">
        <f>AL3+AG4</f>
        <v>3600000</v>
      </c>
      <c r="AI4" s="9">
        <f>IF((AG4+AH3-AI3*10000000)/10000000&gt;=1,INT((AG4+AH3-AI3*10000000)/10000000),0)</f>
        <v>0</v>
      </c>
      <c r="AJ4" s="9">
        <v>0</v>
      </c>
      <c r="AK4" s="9">
        <f t="shared" si="0"/>
        <v>1</v>
      </c>
      <c r="AL4" s="20">
        <f t="shared" ref="AL4:AL52" si="6">AH4-(AI4*10000000)</f>
        <v>3600000</v>
      </c>
      <c r="AM4" s="5">
        <f>(1/10)*2*100%</f>
        <v>0.2</v>
      </c>
      <c r="AP4" s="9">
        <v>2</v>
      </c>
      <c r="AQ4" s="9">
        <f>AW3</f>
        <v>1</v>
      </c>
      <c r="AR4" s="10">
        <f>AQ4*10000000</f>
        <v>10000000</v>
      </c>
      <c r="AS4" s="10">
        <f>10000000*(AY6/$AZ$3)</f>
        <v>1636363.6363636365</v>
      </c>
      <c r="AT4" s="14">
        <f t="shared" ref="AT4" si="7">IF(AT3&gt;=10000000,AS4+AT3-10000000*AU3,AS4+AT3)</f>
        <v>3454545.4545454546</v>
      </c>
      <c r="AU4" s="9">
        <f>IF((AS4+AT3-AU3*10000000)/10000000&gt;=1,INT((AS4+AT3-AU3*10000000)/10000000),0)</f>
        <v>0</v>
      </c>
      <c r="AV4" s="9">
        <v>0</v>
      </c>
      <c r="AW4" s="9">
        <f>AQ4+AU4-AV4</f>
        <v>1</v>
      </c>
      <c r="AY4" s="6"/>
    </row>
    <row r="5" spans="1:52" x14ac:dyDescent="0.25">
      <c r="A5" s="9">
        <v>3</v>
      </c>
      <c r="B5" s="9">
        <f t="shared" ref="B5:B11" si="8">H4</f>
        <v>6</v>
      </c>
      <c r="C5" s="10">
        <f t="shared" ref="C5:C52" si="9">B5*10000000</f>
        <v>60000000</v>
      </c>
      <c r="D5" s="10">
        <f t="shared" si="1"/>
        <v>6000000</v>
      </c>
      <c r="E5" s="14">
        <f>IF(E4&gt;=10000000,D5+E4-10000000*F4,D5+E4)</f>
        <v>6000000</v>
      </c>
      <c r="F5" s="9">
        <f>IF((D5+E4-F4*10000000)/10000000&gt;=1,INT((D5+E4-F4*10000000)/10000000),0)</f>
        <v>0</v>
      </c>
      <c r="G5" s="9">
        <v>0</v>
      </c>
      <c r="H5" s="9">
        <f t="shared" ref="H5:H11" si="10">B5+F5-G5</f>
        <v>6</v>
      </c>
      <c r="J5" s="26">
        <v>3</v>
      </c>
      <c r="K5" s="9">
        <f t="shared" ref="K5:K11" si="11">Q4</f>
        <v>1</v>
      </c>
      <c r="L5" s="10">
        <f t="shared" ref="L5:L52" si="12">K5*10000000</f>
        <v>10000000</v>
      </c>
      <c r="M5" s="10">
        <f t="shared" si="2"/>
        <v>1500000</v>
      </c>
      <c r="N5" s="14">
        <f>IF(N4&gt;=10000000,M5+N4-10000000*O4,M5+N4)</f>
        <v>4500000</v>
      </c>
      <c r="O5" s="9">
        <f>IF((M5+N4-O4*10000000)/10000000&gt;=1,INT((M5+N4-O4*10000000)/10000000),0)</f>
        <v>0</v>
      </c>
      <c r="P5" s="9">
        <v>0</v>
      </c>
      <c r="Q5" s="9">
        <f t="shared" ref="Q5:Q11" si="13">K5+O5-P5</f>
        <v>1</v>
      </c>
      <c r="S5" s="9">
        <v>3</v>
      </c>
      <c r="T5" s="9">
        <f t="shared" ref="T5:T11" si="14">Z4</f>
        <v>1</v>
      </c>
      <c r="U5" s="10">
        <f t="shared" ref="U5:U52" si="15">T5*10000000</f>
        <v>10000000</v>
      </c>
      <c r="V5" s="10">
        <f t="shared" si="3"/>
        <v>2000000</v>
      </c>
      <c r="W5" s="14">
        <f>IF(W4&gt;=10000000,V5+W4-10000000*X4,V5+W4)</f>
        <v>6000000</v>
      </c>
      <c r="X5" s="9">
        <f>IF((V5+W4-X4*10000000)/10000000&gt;=1,INT((V5+W4-X4*10000000)/10000000),0)</f>
        <v>0</v>
      </c>
      <c r="Y5" s="9">
        <v>0</v>
      </c>
      <c r="Z5" s="9">
        <f t="shared" ref="Z5:Z11" si="16">T5+X5-Y5</f>
        <v>1</v>
      </c>
      <c r="AC5" s="9">
        <v>3</v>
      </c>
      <c r="AD5" s="9">
        <f t="shared" si="5"/>
        <v>1</v>
      </c>
      <c r="AE5" s="35">
        <f t="shared" ref="AE5:AE52" si="17">AD5*10000000</f>
        <v>10000000</v>
      </c>
      <c r="AF5" s="27">
        <f t="shared" ref="AF5:AF52" si="18">IF(AD5&gt;0,((AF4*AD4-AG4+(AI4*10000000))/AD5),0)</f>
        <v>6400000</v>
      </c>
      <c r="AG5" s="39">
        <f>AD5*AF5*$AM$4</f>
        <v>1280000</v>
      </c>
      <c r="AH5" s="27">
        <f t="shared" ref="AH5:AH52" si="19">AL4+AG5</f>
        <v>4880000</v>
      </c>
      <c r="AI5" s="9">
        <f>IF((AG5+AH4-AI4*10000000)/10000000&gt;=1,INT((AG5+AH4-AI4*10000000)/10000000),0)</f>
        <v>0</v>
      </c>
      <c r="AJ5" s="9">
        <v>0</v>
      </c>
      <c r="AK5" s="9">
        <f t="shared" si="0"/>
        <v>1</v>
      </c>
      <c r="AL5" s="20">
        <f t="shared" si="6"/>
        <v>4880000</v>
      </c>
      <c r="AP5" s="9">
        <v>3</v>
      </c>
      <c r="AQ5" s="9">
        <f t="shared" ref="AQ5:AQ11" si="20">AW4</f>
        <v>1</v>
      </c>
      <c r="AR5" s="10">
        <f t="shared" ref="AR5:AR52" si="21">AQ5*10000000</f>
        <v>10000000</v>
      </c>
      <c r="AS5" s="10">
        <f>10000000*(AY7/$AZ$3)</f>
        <v>1454545.4545454546</v>
      </c>
      <c r="AT5" s="14">
        <f>IF(AT4&gt;=10000000,AS5+AT4-10000000*AU4,AS5+AT4)</f>
        <v>4909090.9090909092</v>
      </c>
      <c r="AU5" s="9">
        <f>IF((AS5+AT4-AU4*10000000)/10000000&gt;=1,INT((AS5+AT4-AU4*10000000)/10000000),0)</f>
        <v>0</v>
      </c>
      <c r="AV5" s="9">
        <v>0</v>
      </c>
      <c r="AW5" s="9">
        <f t="shared" ref="AW5:AW11" si="22">AQ5+AU5-AV5</f>
        <v>1</v>
      </c>
      <c r="AY5" s="15">
        <v>10</v>
      </c>
    </row>
    <row r="6" spans="1:52" x14ac:dyDescent="0.25">
      <c r="A6" s="9">
        <v>4</v>
      </c>
      <c r="B6" s="9">
        <f t="shared" si="8"/>
        <v>6</v>
      </c>
      <c r="C6" s="10">
        <f t="shared" si="9"/>
        <v>60000000</v>
      </c>
      <c r="D6" s="10">
        <f t="shared" si="1"/>
        <v>6000000</v>
      </c>
      <c r="E6" s="14">
        <f t="shared" ref="E6:E9" si="23">IF(E5&gt;=10000000,D6+E5-10000000*F5,D6+E5)</f>
        <v>12000000</v>
      </c>
      <c r="F6" s="9">
        <f t="shared" ref="F6:F12" si="24">IF((D6+E5-F5*10000000)/10000000&gt;=1,INT((D6+E5-F5*10000000)/10000000),0)</f>
        <v>1</v>
      </c>
      <c r="G6" s="9">
        <v>0</v>
      </c>
      <c r="H6" s="9">
        <f t="shared" si="10"/>
        <v>7</v>
      </c>
      <c r="J6" s="26">
        <v>4</v>
      </c>
      <c r="K6" s="9">
        <f t="shared" si="11"/>
        <v>1</v>
      </c>
      <c r="L6" s="10">
        <f t="shared" si="12"/>
        <v>10000000</v>
      </c>
      <c r="M6" s="10">
        <f t="shared" si="2"/>
        <v>1500000</v>
      </c>
      <c r="N6" s="14">
        <f t="shared" ref="N6:N9" si="25">IF(N5&gt;=10000000,M6+N5-10000000*O5,M6+N5)</f>
        <v>6000000</v>
      </c>
      <c r="O6" s="9">
        <f t="shared" ref="O6:O31" si="26">IF((M6+N5-O5*10000000)/10000000&gt;=1,INT((M6+N5-O5*10000000)/10000000),0)</f>
        <v>0</v>
      </c>
      <c r="P6" s="9">
        <v>0</v>
      </c>
      <c r="Q6" s="9">
        <f t="shared" si="13"/>
        <v>1</v>
      </c>
      <c r="S6" s="9">
        <v>4</v>
      </c>
      <c r="T6" s="9">
        <f t="shared" si="14"/>
        <v>1</v>
      </c>
      <c r="U6" s="10">
        <f t="shared" si="15"/>
        <v>10000000</v>
      </c>
      <c r="V6" s="10">
        <f t="shared" si="3"/>
        <v>2000000</v>
      </c>
      <c r="W6" s="14">
        <f t="shared" ref="W6:W9" si="27">IF(W5&gt;=10000000,V6+W5-10000000*X5,V6+W5)</f>
        <v>8000000</v>
      </c>
      <c r="X6" s="9">
        <f t="shared" ref="X6:X12" si="28">IF((V6+W5-X5*10000000)/10000000&gt;=1,INT((V6+W5-X5*10000000)/10000000),0)</f>
        <v>0</v>
      </c>
      <c r="Y6" s="9">
        <v>0</v>
      </c>
      <c r="Z6" s="9">
        <f t="shared" si="16"/>
        <v>1</v>
      </c>
      <c r="AC6" s="9">
        <v>4</v>
      </c>
      <c r="AD6" s="9">
        <f t="shared" si="5"/>
        <v>1</v>
      </c>
      <c r="AE6" s="35">
        <f t="shared" si="17"/>
        <v>10000000</v>
      </c>
      <c r="AF6" s="27">
        <f t="shared" si="18"/>
        <v>5120000</v>
      </c>
      <c r="AG6" s="39">
        <f>AD6*AF6*$AM$4</f>
        <v>1024000</v>
      </c>
      <c r="AH6" s="27">
        <f t="shared" si="19"/>
        <v>5904000</v>
      </c>
      <c r="AI6" s="9">
        <f t="shared" ref="AI6:AI12" si="29">IF((AG6+AH5-AI5*10000000)/10000000&gt;=1,INT((AG6+AH5-AI5*10000000)/10000000),0)</f>
        <v>0</v>
      </c>
      <c r="AJ6" s="9">
        <v>0</v>
      </c>
      <c r="AK6" s="9">
        <f t="shared" si="0"/>
        <v>1</v>
      </c>
      <c r="AL6" s="20">
        <f t="shared" si="6"/>
        <v>5904000</v>
      </c>
      <c r="AM6" s="28"/>
      <c r="AN6" s="28"/>
      <c r="AO6" s="28"/>
      <c r="AP6" s="9">
        <v>4</v>
      </c>
      <c r="AQ6" s="9">
        <f t="shared" si="20"/>
        <v>1</v>
      </c>
      <c r="AR6" s="10">
        <f t="shared" si="21"/>
        <v>10000000</v>
      </c>
      <c r="AS6" s="10">
        <f>10000000*(AY8/$AZ$3)</f>
        <v>1272727.2727272727</v>
      </c>
      <c r="AT6" s="14">
        <f t="shared" ref="AT6:AT9" si="30">IF(AT5&gt;=10000000,AS6+AT5-10000000*AU5,AS6+AT5)</f>
        <v>6181818.1818181816</v>
      </c>
      <c r="AU6" s="9">
        <f t="shared" ref="AU6:AU12" si="31">IF((AS6+AT5-AU5*10000000)/10000000&gt;=1,INT((AS6+AT5-AU5*10000000)/10000000),0)</f>
        <v>0</v>
      </c>
      <c r="AV6" s="9">
        <v>0</v>
      </c>
      <c r="AW6" s="9">
        <f t="shared" si="22"/>
        <v>1</v>
      </c>
      <c r="AY6" s="15">
        <v>9</v>
      </c>
    </row>
    <row r="7" spans="1:52" x14ac:dyDescent="0.25">
      <c r="A7" s="9">
        <v>5</v>
      </c>
      <c r="B7" s="9">
        <f t="shared" si="8"/>
        <v>7</v>
      </c>
      <c r="C7" s="10">
        <f t="shared" si="9"/>
        <v>70000000</v>
      </c>
      <c r="D7" s="10">
        <f t="shared" si="1"/>
        <v>7000000</v>
      </c>
      <c r="E7" s="14">
        <f t="shared" si="23"/>
        <v>9000000</v>
      </c>
      <c r="F7" s="9">
        <f t="shared" si="24"/>
        <v>0</v>
      </c>
      <c r="G7" s="9">
        <v>0</v>
      </c>
      <c r="H7" s="9">
        <f t="shared" si="10"/>
        <v>7</v>
      </c>
      <c r="J7" s="26">
        <v>5</v>
      </c>
      <c r="K7" s="9">
        <f t="shared" si="11"/>
        <v>1</v>
      </c>
      <c r="L7" s="10">
        <f t="shared" si="12"/>
        <v>10000000</v>
      </c>
      <c r="M7" s="10">
        <f t="shared" si="2"/>
        <v>1500000</v>
      </c>
      <c r="N7" s="14">
        <f t="shared" si="25"/>
        <v>7500000</v>
      </c>
      <c r="O7" s="9">
        <f t="shared" si="26"/>
        <v>0</v>
      </c>
      <c r="P7" s="9">
        <v>0</v>
      </c>
      <c r="Q7" s="9">
        <f t="shared" si="13"/>
        <v>1</v>
      </c>
      <c r="S7" s="9">
        <v>5</v>
      </c>
      <c r="T7" s="9">
        <f t="shared" si="14"/>
        <v>1</v>
      </c>
      <c r="U7" s="10">
        <f t="shared" si="15"/>
        <v>10000000</v>
      </c>
      <c r="V7" s="10">
        <f t="shared" si="3"/>
        <v>2000000</v>
      </c>
      <c r="W7" s="14">
        <f t="shared" si="27"/>
        <v>10000000</v>
      </c>
      <c r="X7" s="9">
        <f t="shared" si="28"/>
        <v>1</v>
      </c>
      <c r="Y7" s="9">
        <v>0</v>
      </c>
      <c r="Z7" s="9">
        <f t="shared" si="16"/>
        <v>2</v>
      </c>
      <c r="AC7" s="9">
        <v>5</v>
      </c>
      <c r="AD7" s="9">
        <f t="shared" si="5"/>
        <v>1</v>
      </c>
      <c r="AE7" s="35">
        <f t="shared" si="17"/>
        <v>10000000</v>
      </c>
      <c r="AF7" s="27">
        <f t="shared" si="18"/>
        <v>4096000</v>
      </c>
      <c r="AG7" s="39">
        <f>AD7*AF7*$AM$4</f>
        <v>819200</v>
      </c>
      <c r="AH7" s="27">
        <f t="shared" si="19"/>
        <v>6723200</v>
      </c>
      <c r="AI7" s="9">
        <f t="shared" si="29"/>
        <v>0</v>
      </c>
      <c r="AJ7" s="9">
        <v>0</v>
      </c>
      <c r="AK7" s="9">
        <f t="shared" si="0"/>
        <v>1</v>
      </c>
      <c r="AL7" s="20">
        <f t="shared" si="6"/>
        <v>6723200</v>
      </c>
      <c r="AM7" s="28"/>
      <c r="AN7" s="28"/>
      <c r="AO7" s="28"/>
      <c r="AP7" s="9">
        <v>5</v>
      </c>
      <c r="AQ7" s="9">
        <f t="shared" si="20"/>
        <v>1</v>
      </c>
      <c r="AR7" s="10">
        <f t="shared" si="21"/>
        <v>10000000</v>
      </c>
      <c r="AS7" s="10">
        <f>10000000*(AY9/$AZ$3)</f>
        <v>1090909.0909090908</v>
      </c>
      <c r="AT7" s="14">
        <f t="shared" si="30"/>
        <v>7272727.2727272725</v>
      </c>
      <c r="AU7" s="9">
        <f t="shared" si="31"/>
        <v>0</v>
      </c>
      <c r="AV7" s="9">
        <v>0</v>
      </c>
      <c r="AW7" s="9">
        <f t="shared" si="22"/>
        <v>1</v>
      </c>
      <c r="AY7" s="15">
        <v>8</v>
      </c>
    </row>
    <row r="8" spans="1:52" x14ac:dyDescent="0.25">
      <c r="A8" s="9">
        <v>6</v>
      </c>
      <c r="B8" s="9">
        <f t="shared" si="8"/>
        <v>7</v>
      </c>
      <c r="C8" s="10">
        <f t="shared" si="9"/>
        <v>70000000</v>
      </c>
      <c r="D8" s="10">
        <f t="shared" si="1"/>
        <v>7000000</v>
      </c>
      <c r="E8" s="14">
        <f t="shared" si="23"/>
        <v>16000000</v>
      </c>
      <c r="F8" s="9">
        <f t="shared" si="24"/>
        <v>1</v>
      </c>
      <c r="G8" s="9">
        <v>0</v>
      </c>
      <c r="H8" s="9">
        <f t="shared" si="10"/>
        <v>8</v>
      </c>
      <c r="J8" s="26">
        <v>6</v>
      </c>
      <c r="K8" s="9">
        <f t="shared" si="11"/>
        <v>1</v>
      </c>
      <c r="L8" s="10">
        <f t="shared" si="12"/>
        <v>10000000</v>
      </c>
      <c r="M8" s="10">
        <f t="shared" si="2"/>
        <v>1500000</v>
      </c>
      <c r="N8" s="14">
        <f t="shared" si="25"/>
        <v>9000000</v>
      </c>
      <c r="O8" s="9">
        <f t="shared" si="26"/>
        <v>0</v>
      </c>
      <c r="P8" s="9">
        <v>0</v>
      </c>
      <c r="Q8" s="9">
        <f t="shared" si="13"/>
        <v>1</v>
      </c>
      <c r="S8" s="9">
        <v>6</v>
      </c>
      <c r="T8" s="9">
        <f t="shared" si="14"/>
        <v>2</v>
      </c>
      <c r="U8" s="10">
        <f t="shared" si="15"/>
        <v>20000000</v>
      </c>
      <c r="V8" s="10">
        <f t="shared" si="3"/>
        <v>4000000</v>
      </c>
      <c r="W8" s="14">
        <f t="shared" si="27"/>
        <v>4000000</v>
      </c>
      <c r="X8" s="9">
        <f t="shared" si="28"/>
        <v>0</v>
      </c>
      <c r="Y8" s="9">
        <v>0</v>
      </c>
      <c r="Z8" s="9">
        <f t="shared" si="16"/>
        <v>2</v>
      </c>
      <c r="AC8" s="9">
        <v>6</v>
      </c>
      <c r="AD8" s="9">
        <f t="shared" si="5"/>
        <v>1</v>
      </c>
      <c r="AE8" s="35">
        <f t="shared" si="17"/>
        <v>10000000</v>
      </c>
      <c r="AF8" s="27">
        <f t="shared" si="18"/>
        <v>3276800</v>
      </c>
      <c r="AG8" s="39">
        <f>AD8*AF8*$AM$4</f>
        <v>655360</v>
      </c>
      <c r="AH8" s="27">
        <f t="shared" si="19"/>
        <v>7378560</v>
      </c>
      <c r="AI8" s="9">
        <f t="shared" si="29"/>
        <v>0</v>
      </c>
      <c r="AJ8" s="9">
        <v>0</v>
      </c>
      <c r="AK8" s="9">
        <f t="shared" si="0"/>
        <v>1</v>
      </c>
      <c r="AL8" s="20">
        <f t="shared" si="6"/>
        <v>7378560</v>
      </c>
      <c r="AM8" s="28"/>
      <c r="AN8" s="28"/>
      <c r="AO8" s="28"/>
      <c r="AP8" s="9">
        <v>6</v>
      </c>
      <c r="AQ8" s="9">
        <f t="shared" si="20"/>
        <v>1</v>
      </c>
      <c r="AR8" s="10">
        <f t="shared" si="21"/>
        <v>10000000</v>
      </c>
      <c r="AS8" s="10">
        <f>10000000*(AY10/$AZ$3)</f>
        <v>909090.90909090906</v>
      </c>
      <c r="AT8" s="14">
        <f t="shared" si="30"/>
        <v>8181818.1818181816</v>
      </c>
      <c r="AU8" s="9">
        <f t="shared" si="31"/>
        <v>0</v>
      </c>
      <c r="AV8" s="9">
        <v>0</v>
      </c>
      <c r="AW8" s="9">
        <f t="shared" si="22"/>
        <v>1</v>
      </c>
      <c r="AY8" s="15">
        <v>7</v>
      </c>
    </row>
    <row r="9" spans="1:52" x14ac:dyDescent="0.25">
      <c r="A9" s="9">
        <v>7</v>
      </c>
      <c r="B9" s="9">
        <f t="shared" si="8"/>
        <v>8</v>
      </c>
      <c r="C9" s="10">
        <f t="shared" si="9"/>
        <v>80000000</v>
      </c>
      <c r="D9" s="10">
        <f t="shared" si="1"/>
        <v>8000000</v>
      </c>
      <c r="E9" s="14">
        <f t="shared" si="23"/>
        <v>14000000</v>
      </c>
      <c r="F9" s="9">
        <f t="shared" si="24"/>
        <v>1</v>
      </c>
      <c r="G9" s="9">
        <v>0</v>
      </c>
      <c r="H9" s="9">
        <f t="shared" si="10"/>
        <v>9</v>
      </c>
      <c r="J9" s="26">
        <v>7</v>
      </c>
      <c r="K9" s="9">
        <f t="shared" si="11"/>
        <v>1</v>
      </c>
      <c r="L9" s="10">
        <f t="shared" si="12"/>
        <v>10000000</v>
      </c>
      <c r="M9" s="10">
        <f t="shared" si="2"/>
        <v>1500000</v>
      </c>
      <c r="N9" s="14">
        <f t="shared" si="25"/>
        <v>10500000</v>
      </c>
      <c r="O9" s="9">
        <f t="shared" si="26"/>
        <v>1</v>
      </c>
      <c r="P9" s="9">
        <v>0</v>
      </c>
      <c r="Q9" s="9">
        <f t="shared" si="13"/>
        <v>2</v>
      </c>
      <c r="S9" s="9">
        <v>7</v>
      </c>
      <c r="T9" s="9">
        <f t="shared" si="14"/>
        <v>2</v>
      </c>
      <c r="U9" s="10">
        <f t="shared" si="15"/>
        <v>20000000</v>
      </c>
      <c r="V9" s="10">
        <f t="shared" si="3"/>
        <v>4000000</v>
      </c>
      <c r="W9" s="14">
        <f t="shared" si="27"/>
        <v>8000000</v>
      </c>
      <c r="X9" s="9">
        <f t="shared" si="28"/>
        <v>0</v>
      </c>
      <c r="Y9" s="9">
        <v>0</v>
      </c>
      <c r="Z9" s="9">
        <f t="shared" si="16"/>
        <v>2</v>
      </c>
      <c r="AC9" s="9">
        <v>7</v>
      </c>
      <c r="AD9" s="9">
        <f t="shared" si="5"/>
        <v>1</v>
      </c>
      <c r="AE9" s="35">
        <f t="shared" si="17"/>
        <v>10000000</v>
      </c>
      <c r="AF9" s="27">
        <f t="shared" si="18"/>
        <v>2621440</v>
      </c>
      <c r="AG9" s="39">
        <f>AD9*AF9*$AM$4</f>
        <v>524288</v>
      </c>
      <c r="AH9" s="27">
        <f t="shared" si="19"/>
        <v>7902848</v>
      </c>
      <c r="AI9" s="9">
        <f t="shared" si="29"/>
        <v>0</v>
      </c>
      <c r="AJ9" s="9">
        <v>0</v>
      </c>
      <c r="AK9" s="9">
        <f t="shared" si="0"/>
        <v>1</v>
      </c>
      <c r="AL9" s="20">
        <f t="shared" si="6"/>
        <v>7902848</v>
      </c>
      <c r="AM9" s="28"/>
      <c r="AN9" s="28"/>
      <c r="AO9" s="28"/>
      <c r="AP9" s="9">
        <v>7</v>
      </c>
      <c r="AQ9" s="9">
        <f t="shared" si="20"/>
        <v>1</v>
      </c>
      <c r="AR9" s="10">
        <f t="shared" si="21"/>
        <v>10000000</v>
      </c>
      <c r="AS9" s="10">
        <f>10000000*(AY11/$AZ$3)</f>
        <v>727272.72727272729</v>
      </c>
      <c r="AT9" s="14">
        <f t="shared" si="30"/>
        <v>8909090.9090909082</v>
      </c>
      <c r="AU9" s="9">
        <f t="shared" si="31"/>
        <v>0</v>
      </c>
      <c r="AV9" s="9">
        <v>0</v>
      </c>
      <c r="AW9" s="9">
        <f t="shared" si="22"/>
        <v>1</v>
      </c>
      <c r="AY9" s="15">
        <v>6</v>
      </c>
    </row>
    <row r="10" spans="1:52" x14ac:dyDescent="0.25">
      <c r="A10" s="9">
        <v>8</v>
      </c>
      <c r="B10" s="9">
        <f t="shared" si="8"/>
        <v>9</v>
      </c>
      <c r="C10" s="10">
        <f t="shared" si="9"/>
        <v>90000000</v>
      </c>
      <c r="D10" s="10">
        <f t="shared" si="1"/>
        <v>9000000</v>
      </c>
      <c r="E10" s="14">
        <f>IF(E9&gt;=10000000,D10+E9-10000000*F9,D10+E9)</f>
        <v>13000000</v>
      </c>
      <c r="F10" s="9">
        <f t="shared" si="24"/>
        <v>1</v>
      </c>
      <c r="G10" s="9">
        <v>0</v>
      </c>
      <c r="H10" s="9">
        <f t="shared" si="10"/>
        <v>10</v>
      </c>
      <c r="J10" s="26">
        <v>8</v>
      </c>
      <c r="K10" s="9">
        <f t="shared" si="11"/>
        <v>2</v>
      </c>
      <c r="L10" s="10">
        <f t="shared" si="12"/>
        <v>20000000</v>
      </c>
      <c r="M10" s="10">
        <f>L10/10*1.5</f>
        <v>3000000</v>
      </c>
      <c r="N10" s="14">
        <f>IF(N9&gt;=10000000,M10+N9-10000000*O9,M10+N9)</f>
        <v>3500000</v>
      </c>
      <c r="O10" s="9">
        <f t="shared" si="26"/>
        <v>0</v>
      </c>
      <c r="P10" s="9">
        <v>0</v>
      </c>
      <c r="Q10" s="9">
        <f t="shared" si="13"/>
        <v>2</v>
      </c>
      <c r="S10" s="9">
        <v>8</v>
      </c>
      <c r="T10" s="9">
        <f t="shared" si="14"/>
        <v>2</v>
      </c>
      <c r="U10" s="10">
        <f t="shared" si="15"/>
        <v>20000000</v>
      </c>
      <c r="V10" s="10">
        <f t="shared" si="3"/>
        <v>4000000</v>
      </c>
      <c r="W10" s="14">
        <f>IF(W9&gt;=10000000,V10+W9-10000000*X9,V10+W9)</f>
        <v>12000000</v>
      </c>
      <c r="X10" s="9">
        <f t="shared" si="28"/>
        <v>1</v>
      </c>
      <c r="Y10" s="9">
        <v>0</v>
      </c>
      <c r="Z10" s="9">
        <f t="shared" si="16"/>
        <v>3</v>
      </c>
      <c r="AC10" s="9">
        <v>8</v>
      </c>
      <c r="AD10" s="9">
        <f t="shared" si="5"/>
        <v>1</v>
      </c>
      <c r="AE10" s="35">
        <f t="shared" si="17"/>
        <v>10000000</v>
      </c>
      <c r="AF10" s="27">
        <f t="shared" si="18"/>
        <v>2097152</v>
      </c>
      <c r="AG10" s="39">
        <f>AD10*AF10*$AM$4</f>
        <v>419430.40000000002</v>
      </c>
      <c r="AH10" s="27">
        <f t="shared" si="19"/>
        <v>8322278.4000000004</v>
      </c>
      <c r="AI10" s="9">
        <f t="shared" si="29"/>
        <v>0</v>
      </c>
      <c r="AJ10" s="9">
        <v>0</v>
      </c>
      <c r="AK10" s="9">
        <f t="shared" si="0"/>
        <v>1</v>
      </c>
      <c r="AL10" s="20">
        <f t="shared" si="6"/>
        <v>8322278.4000000004</v>
      </c>
      <c r="AM10" s="28"/>
      <c r="AN10" s="28"/>
      <c r="AO10" s="28"/>
      <c r="AP10" s="9">
        <v>8</v>
      </c>
      <c r="AQ10" s="9">
        <f t="shared" si="20"/>
        <v>1</v>
      </c>
      <c r="AR10" s="10">
        <f t="shared" si="21"/>
        <v>10000000</v>
      </c>
      <c r="AS10" s="10">
        <f>10000000*(AY12/$AZ$3)</f>
        <v>545454.54545454541</v>
      </c>
      <c r="AT10" s="14">
        <f>IF(AT9&gt;=10000000,AS10+AT9-10000000*AU9,AS10+AT9)</f>
        <v>9454545.4545454532</v>
      </c>
      <c r="AU10" s="9">
        <f t="shared" si="31"/>
        <v>0</v>
      </c>
      <c r="AV10" s="9">
        <v>0</v>
      </c>
      <c r="AW10" s="9">
        <f t="shared" si="22"/>
        <v>1</v>
      </c>
      <c r="AY10" s="15">
        <v>5</v>
      </c>
    </row>
    <row r="11" spans="1:52" ht="13.9" customHeight="1" x14ac:dyDescent="0.25">
      <c r="A11" s="16">
        <v>9</v>
      </c>
      <c r="B11" s="16">
        <f t="shared" si="8"/>
        <v>10</v>
      </c>
      <c r="C11" s="17">
        <f t="shared" si="9"/>
        <v>100000000</v>
      </c>
      <c r="D11" s="10">
        <f t="shared" si="1"/>
        <v>10000000</v>
      </c>
      <c r="E11" s="14">
        <f t="shared" ref="E11:E52" si="32">IF(E10&gt;=10000000,D11+E10-10000000*F10,D11+E10)</f>
        <v>13000000</v>
      </c>
      <c r="F11" s="9">
        <f t="shared" si="24"/>
        <v>1</v>
      </c>
      <c r="G11" s="9">
        <v>0</v>
      </c>
      <c r="H11" s="16">
        <f t="shared" si="10"/>
        <v>11</v>
      </c>
      <c r="J11" s="29">
        <v>9</v>
      </c>
      <c r="K11" s="16">
        <f t="shared" si="11"/>
        <v>2</v>
      </c>
      <c r="L11" s="17">
        <f t="shared" si="12"/>
        <v>20000000</v>
      </c>
      <c r="M11" s="10">
        <f t="shared" si="2"/>
        <v>3000000</v>
      </c>
      <c r="N11" s="14">
        <f t="shared" ref="N11:N52" si="33">IF(N10&gt;=10000000,M11+N10-10000000*O10,M11+N10)</f>
        <v>6500000</v>
      </c>
      <c r="O11" s="9">
        <f t="shared" si="26"/>
        <v>0</v>
      </c>
      <c r="P11" s="9">
        <v>0</v>
      </c>
      <c r="Q11" s="16">
        <f t="shared" si="13"/>
        <v>2</v>
      </c>
      <c r="S11" s="16">
        <v>9</v>
      </c>
      <c r="T11" s="16">
        <f t="shared" si="14"/>
        <v>3</v>
      </c>
      <c r="U11" s="17">
        <f t="shared" si="15"/>
        <v>30000000</v>
      </c>
      <c r="V11" s="10">
        <f t="shared" si="3"/>
        <v>6000000</v>
      </c>
      <c r="W11" s="14">
        <f t="shared" ref="W11:W52" si="34">IF(W10&gt;=10000000,V11+W10-10000000*X10,V11+W10)</f>
        <v>8000000</v>
      </c>
      <c r="X11" s="9">
        <f t="shared" si="28"/>
        <v>0</v>
      </c>
      <c r="Y11" s="9">
        <v>0</v>
      </c>
      <c r="Z11" s="16">
        <f t="shared" si="16"/>
        <v>3</v>
      </c>
      <c r="AC11" s="16">
        <v>9</v>
      </c>
      <c r="AD11" s="16">
        <f t="shared" si="5"/>
        <v>1</v>
      </c>
      <c r="AE11" s="36">
        <f t="shared" si="17"/>
        <v>10000000</v>
      </c>
      <c r="AF11" s="27">
        <f t="shared" si="18"/>
        <v>1677721.6000000001</v>
      </c>
      <c r="AG11" s="39">
        <f>AD11*AF11*$AM$4</f>
        <v>335544.32000000007</v>
      </c>
      <c r="AH11" s="27">
        <f t="shared" si="19"/>
        <v>8657822.7200000007</v>
      </c>
      <c r="AI11" s="9">
        <f t="shared" si="29"/>
        <v>0</v>
      </c>
      <c r="AJ11" s="9">
        <v>0</v>
      </c>
      <c r="AK11" s="16">
        <f t="shared" si="0"/>
        <v>1</v>
      </c>
      <c r="AL11" s="20">
        <f t="shared" si="6"/>
        <v>8657822.7200000007</v>
      </c>
      <c r="AM11" s="28"/>
      <c r="AN11" s="28"/>
      <c r="AO11" s="28"/>
      <c r="AP11" s="16">
        <v>9</v>
      </c>
      <c r="AQ11" s="16">
        <f t="shared" si="20"/>
        <v>1</v>
      </c>
      <c r="AR11" s="17">
        <f t="shared" si="21"/>
        <v>10000000</v>
      </c>
      <c r="AS11" s="10">
        <f>10000000*(AY13/$AZ$3)</f>
        <v>363636.36363636365</v>
      </c>
      <c r="AT11" s="14">
        <f t="shared" ref="AT11" si="35">IF(AT10&gt;=10000000,AS11+AT10-10000000*AU10,AS11+AT10)</f>
        <v>9818181.8181818165</v>
      </c>
      <c r="AU11" s="9">
        <f t="shared" si="31"/>
        <v>0</v>
      </c>
      <c r="AV11" s="9">
        <v>0</v>
      </c>
      <c r="AW11" s="16">
        <f t="shared" si="22"/>
        <v>1</v>
      </c>
      <c r="AY11" s="15">
        <v>4</v>
      </c>
    </row>
    <row r="12" spans="1:52" x14ac:dyDescent="0.25">
      <c r="A12" s="18">
        <v>10</v>
      </c>
      <c r="B12" s="18">
        <f>H11</f>
        <v>11</v>
      </c>
      <c r="C12" s="19">
        <f t="shared" si="9"/>
        <v>110000000</v>
      </c>
      <c r="D12" s="10">
        <f t="shared" si="1"/>
        <v>11000000</v>
      </c>
      <c r="E12" s="14">
        <f t="shared" si="32"/>
        <v>14000000</v>
      </c>
      <c r="F12" s="9">
        <f t="shared" si="24"/>
        <v>1</v>
      </c>
      <c r="G12" s="9">
        <f>B3</f>
        <v>5</v>
      </c>
      <c r="H12" s="18">
        <f>B12+F12-G12</f>
        <v>7</v>
      </c>
      <c r="J12" s="30">
        <v>10</v>
      </c>
      <c r="K12" s="18">
        <f>Q11</f>
        <v>2</v>
      </c>
      <c r="L12" s="19">
        <f t="shared" si="12"/>
        <v>20000000</v>
      </c>
      <c r="M12" s="10">
        <f t="shared" si="2"/>
        <v>3000000</v>
      </c>
      <c r="N12" s="14">
        <f t="shared" si="33"/>
        <v>9500000</v>
      </c>
      <c r="O12" s="9">
        <f t="shared" si="26"/>
        <v>0</v>
      </c>
      <c r="P12" s="9">
        <f>K3</f>
        <v>1</v>
      </c>
      <c r="Q12" s="18">
        <f>K12+O12-P12</f>
        <v>1</v>
      </c>
      <c r="S12" s="18">
        <v>10</v>
      </c>
      <c r="T12" s="18">
        <f>Z11</f>
        <v>3</v>
      </c>
      <c r="U12" s="19">
        <f t="shared" si="15"/>
        <v>30000000</v>
      </c>
      <c r="V12" s="10">
        <f t="shared" si="3"/>
        <v>6000000</v>
      </c>
      <c r="W12" s="14">
        <f t="shared" si="34"/>
        <v>14000000</v>
      </c>
      <c r="X12" s="9">
        <f t="shared" si="28"/>
        <v>1</v>
      </c>
      <c r="Y12" s="9">
        <f>T3</f>
        <v>1</v>
      </c>
      <c r="Z12" s="18">
        <f>T12+X12-Y12</f>
        <v>3</v>
      </c>
      <c r="AC12" s="18">
        <v>10</v>
      </c>
      <c r="AD12" s="18">
        <f t="shared" si="5"/>
        <v>1</v>
      </c>
      <c r="AE12" s="37">
        <f t="shared" si="17"/>
        <v>10000000</v>
      </c>
      <c r="AF12" s="27">
        <f t="shared" si="18"/>
        <v>1342177.28</v>
      </c>
      <c r="AG12" s="39">
        <f>AD12*AF12*$AM$4</f>
        <v>268435.45600000001</v>
      </c>
      <c r="AH12" s="27">
        <f t="shared" si="19"/>
        <v>8926258.1760000009</v>
      </c>
      <c r="AI12" s="9">
        <f t="shared" si="29"/>
        <v>0</v>
      </c>
      <c r="AJ12" s="9">
        <v>1</v>
      </c>
      <c r="AK12" s="18">
        <f t="shared" si="0"/>
        <v>0</v>
      </c>
      <c r="AL12" s="20">
        <f t="shared" si="6"/>
        <v>8926258.1760000009</v>
      </c>
      <c r="AM12" s="28"/>
      <c r="AN12" s="28"/>
      <c r="AO12" s="28"/>
      <c r="AP12" s="18">
        <v>10</v>
      </c>
      <c r="AQ12" s="18">
        <f>AW11</f>
        <v>1</v>
      </c>
      <c r="AR12" s="19">
        <f t="shared" si="21"/>
        <v>10000000</v>
      </c>
      <c r="AS12" s="10">
        <f>10000000*(AY14/$AZ$3)</f>
        <v>181818.18181818182</v>
      </c>
      <c r="AT12" s="14">
        <f>IF(AT11&gt;=10000000,AS12+AT11-10000000*AU11,AS12+AT11)</f>
        <v>9999999.9999999981</v>
      </c>
      <c r="AU12" s="9">
        <f t="shared" si="31"/>
        <v>1</v>
      </c>
      <c r="AV12" s="9">
        <v>1</v>
      </c>
      <c r="AW12" s="18">
        <f>AQ12+AU12-AV12</f>
        <v>1</v>
      </c>
      <c r="AY12" s="15">
        <v>3</v>
      </c>
    </row>
    <row r="13" spans="1:52" x14ac:dyDescent="0.25">
      <c r="A13" s="18">
        <v>11</v>
      </c>
      <c r="B13" s="18">
        <f t="shared" ref="B13:B52" si="36">H12</f>
        <v>7</v>
      </c>
      <c r="C13" s="19">
        <f t="shared" si="9"/>
        <v>70000000</v>
      </c>
      <c r="D13" s="10">
        <f t="shared" si="1"/>
        <v>7000000</v>
      </c>
      <c r="E13" s="14">
        <f>IF(E12&gt;=10000000,D13+E12-10000000*F12,D13+E12)</f>
        <v>11000000</v>
      </c>
      <c r="F13" s="9">
        <f>IF((D13+E12-F12*10000000)/10000000&gt;=1,INT((D13+E12-F12*10000000)/10000000),0)</f>
        <v>1</v>
      </c>
      <c r="G13" s="9">
        <f>IF(F3&gt;=1,F3,0)</f>
        <v>0</v>
      </c>
      <c r="H13" s="18">
        <f t="shared" ref="H13:H30" si="37">B13+F13-G13</f>
        <v>8</v>
      </c>
      <c r="J13" s="30">
        <v>11</v>
      </c>
      <c r="K13" s="18">
        <f t="shared" ref="K13:K52" si="38">Q12</f>
        <v>1</v>
      </c>
      <c r="L13" s="19">
        <f t="shared" si="12"/>
        <v>10000000</v>
      </c>
      <c r="M13" s="10">
        <f t="shared" si="2"/>
        <v>1500000</v>
      </c>
      <c r="N13" s="14">
        <f t="shared" si="33"/>
        <v>11000000</v>
      </c>
      <c r="O13" s="9">
        <f>IF((M13+N12-O12*10000000)/10000000&gt;=1,INT((M13+N12-O12*10000000)/10000000),0)</f>
        <v>1</v>
      </c>
      <c r="P13" s="9">
        <f>IF(O3&gt;=1,O3,0)</f>
        <v>0</v>
      </c>
      <c r="Q13" s="18">
        <f t="shared" ref="Q13:Q52" si="39">K13+O13-P13</f>
        <v>2</v>
      </c>
      <c r="S13" s="18">
        <v>11</v>
      </c>
      <c r="T13" s="18">
        <f t="shared" ref="T13:T52" si="40">Z12</f>
        <v>3</v>
      </c>
      <c r="U13" s="19">
        <f t="shared" si="15"/>
        <v>30000000</v>
      </c>
      <c r="V13" s="10">
        <f t="shared" si="3"/>
        <v>6000000</v>
      </c>
      <c r="W13" s="14">
        <f t="shared" si="34"/>
        <v>10000000</v>
      </c>
      <c r="X13" s="9">
        <f>IF((V13+W12-X12*10000000)/10000000&gt;=1,INT((V13+W12-X12*10000000)/10000000),0)</f>
        <v>1</v>
      </c>
      <c r="Y13" s="9">
        <f>IF(X3&gt;=1,X3,0)</f>
        <v>0</v>
      </c>
      <c r="Z13" s="18">
        <f t="shared" ref="Z13:Z30" si="41">T13+X13-Y13</f>
        <v>4</v>
      </c>
      <c r="AC13" s="18">
        <v>11</v>
      </c>
      <c r="AD13" s="18">
        <f t="shared" ref="AD13:AD52" si="42">AK12</f>
        <v>0</v>
      </c>
      <c r="AE13" s="37">
        <f t="shared" si="17"/>
        <v>0</v>
      </c>
      <c r="AF13" s="27">
        <f t="shared" si="18"/>
        <v>0</v>
      </c>
      <c r="AG13" s="39">
        <f>AD13*AF13*$AM$4</f>
        <v>0</v>
      </c>
      <c r="AH13" s="27">
        <f t="shared" si="19"/>
        <v>8926258.1760000009</v>
      </c>
      <c r="AI13" s="9">
        <f>IF((AG13+AH12-AI12*10000000)/10000000&gt;=1,INT((AG13+AH12-AI12*10000000)/10000000),0)</f>
        <v>0</v>
      </c>
      <c r="AJ13" s="9">
        <f>IF(AI3&gt;=1,AI3,0)</f>
        <v>0</v>
      </c>
      <c r="AK13" s="18">
        <f t="shared" si="0"/>
        <v>0</v>
      </c>
      <c r="AL13" s="20">
        <f t="shared" si="6"/>
        <v>8926258.1760000009</v>
      </c>
      <c r="AM13" s="28"/>
      <c r="AN13" s="28"/>
      <c r="AO13" s="28"/>
      <c r="AP13" s="18">
        <v>11</v>
      </c>
      <c r="AQ13" s="18">
        <f t="shared" ref="AQ13:AQ52" si="43">AW12</f>
        <v>1</v>
      </c>
      <c r="AR13" s="19">
        <f t="shared" si="21"/>
        <v>10000000</v>
      </c>
      <c r="AS13" s="10">
        <f>10000000*(AY5/$AZ$3)</f>
        <v>1818181.8181818181</v>
      </c>
      <c r="AT13" s="14">
        <f t="shared" ref="AT13:AT52" si="44">IF(AT12&gt;=10000000,AS13+AT12-10000000*AU12,AS13+AT12)</f>
        <v>1818181.8181818165</v>
      </c>
      <c r="AU13" s="9">
        <f>IF((AS13+AT12-AU12*10000000)/10000000&gt;=1,INT((AS13+AT12-AU12*10000000)/10000000),0)</f>
        <v>0</v>
      </c>
      <c r="AV13" s="9">
        <f>IF(AU3&gt;=1,AU3,0)</f>
        <v>0</v>
      </c>
      <c r="AW13" s="18">
        <f t="shared" ref="AW13:AW30" si="45">AQ13+AU13-AV13</f>
        <v>1</v>
      </c>
      <c r="AY13" s="15">
        <v>2</v>
      </c>
    </row>
    <row r="14" spans="1:52" x14ac:dyDescent="0.25">
      <c r="A14" s="18">
        <v>12</v>
      </c>
      <c r="B14" s="18">
        <f t="shared" si="36"/>
        <v>8</v>
      </c>
      <c r="C14" s="19">
        <f t="shared" si="9"/>
        <v>80000000</v>
      </c>
      <c r="D14" s="10">
        <f t="shared" si="1"/>
        <v>8000000</v>
      </c>
      <c r="E14" s="14">
        <f t="shared" si="32"/>
        <v>9000000</v>
      </c>
      <c r="F14" s="9">
        <f t="shared" ref="F14:F31" si="46">IF((D14+E13-F13*10000000)/10000000&gt;=1,INT((D14+E13-F13*10000000)/10000000),0)</f>
        <v>0</v>
      </c>
      <c r="G14" s="9">
        <f>IF(F4&gt;=1,F4,0)</f>
        <v>1</v>
      </c>
      <c r="H14" s="18">
        <f t="shared" si="37"/>
        <v>7</v>
      </c>
      <c r="J14" s="30">
        <v>12</v>
      </c>
      <c r="K14" s="18">
        <f t="shared" si="38"/>
        <v>2</v>
      </c>
      <c r="L14" s="19">
        <f t="shared" si="12"/>
        <v>20000000</v>
      </c>
      <c r="M14" s="10">
        <f t="shared" si="2"/>
        <v>3000000</v>
      </c>
      <c r="N14" s="14">
        <f t="shared" si="33"/>
        <v>4000000</v>
      </c>
      <c r="O14" s="9">
        <f t="shared" si="26"/>
        <v>0</v>
      </c>
      <c r="P14" s="9">
        <f t="shared" ref="P14:P52" si="47">IF(O4&gt;=1,O4,0)</f>
        <v>0</v>
      </c>
      <c r="Q14" s="18">
        <f t="shared" si="39"/>
        <v>2</v>
      </c>
      <c r="S14" s="18">
        <v>12</v>
      </c>
      <c r="T14" s="18">
        <f t="shared" si="40"/>
        <v>4</v>
      </c>
      <c r="U14" s="19">
        <f t="shared" si="15"/>
        <v>40000000</v>
      </c>
      <c r="V14" s="10">
        <f t="shared" si="3"/>
        <v>8000000</v>
      </c>
      <c r="W14" s="14">
        <f t="shared" si="34"/>
        <v>8000000</v>
      </c>
      <c r="X14" s="9">
        <f t="shared" ref="X14:X31" si="48">IF((V14+W13-X13*10000000)/10000000&gt;=1,INT((V14+W13-X13*10000000)/10000000),0)</f>
        <v>0</v>
      </c>
      <c r="Y14" s="9">
        <f t="shared" ref="Y14:Y52" si="49">IF(X4&gt;=1,X4,0)</f>
        <v>0</v>
      </c>
      <c r="Z14" s="18">
        <f t="shared" si="41"/>
        <v>4</v>
      </c>
      <c r="AC14" s="18">
        <v>12</v>
      </c>
      <c r="AD14" s="18">
        <f t="shared" si="42"/>
        <v>0</v>
      </c>
      <c r="AE14" s="37">
        <f t="shared" si="17"/>
        <v>0</v>
      </c>
      <c r="AF14" s="27">
        <f t="shared" si="18"/>
        <v>0</v>
      </c>
      <c r="AG14" s="39">
        <f>AD14*AF14*$AM$4</f>
        <v>0</v>
      </c>
      <c r="AH14" s="27">
        <f t="shared" si="19"/>
        <v>8926258.1760000009</v>
      </c>
      <c r="AI14" s="9">
        <f t="shared" ref="AI14:AI31" si="50">IF((AG14+AH13-AI13*10000000)/10000000&gt;=1,INT((AG14+AH13-AI13*10000000)/10000000),0)</f>
        <v>0</v>
      </c>
      <c r="AJ14" s="9">
        <f t="shared" ref="AJ14:AJ52" si="51">IF(AI4&gt;=1,AI4,0)</f>
        <v>0</v>
      </c>
      <c r="AK14" s="18">
        <f t="shared" si="0"/>
        <v>0</v>
      </c>
      <c r="AL14" s="20">
        <f t="shared" si="6"/>
        <v>8926258.1760000009</v>
      </c>
      <c r="AM14" s="28"/>
      <c r="AN14" s="28"/>
      <c r="AO14" s="28"/>
      <c r="AP14" s="18">
        <v>12</v>
      </c>
      <c r="AQ14" s="18">
        <f t="shared" si="43"/>
        <v>1</v>
      </c>
      <c r="AR14" s="19">
        <f t="shared" si="21"/>
        <v>10000000</v>
      </c>
      <c r="AS14" s="10">
        <f>10000000*(AY6/$AZ$3)</f>
        <v>1636363.6363636365</v>
      </c>
      <c r="AT14" s="14">
        <f t="shared" si="44"/>
        <v>3454545.4545454532</v>
      </c>
      <c r="AU14" s="9">
        <f t="shared" ref="AU14:AU31" si="52">IF((AS14+AT13-AU13*10000000)/10000000&gt;=1,INT((AS14+AT13-AU13*10000000)/10000000),0)</f>
        <v>0</v>
      </c>
      <c r="AV14" s="9">
        <f t="shared" ref="AV14:AV52" si="53">IF(AU4&gt;=1,AU4,0)</f>
        <v>0</v>
      </c>
      <c r="AW14" s="18">
        <f t="shared" si="45"/>
        <v>1</v>
      </c>
      <c r="AY14" s="15">
        <v>1</v>
      </c>
    </row>
    <row r="15" spans="1:52" x14ac:dyDescent="0.25">
      <c r="A15" s="18">
        <v>13</v>
      </c>
      <c r="B15" s="18">
        <f t="shared" si="36"/>
        <v>7</v>
      </c>
      <c r="C15" s="19">
        <f t="shared" si="9"/>
        <v>70000000</v>
      </c>
      <c r="D15" s="10">
        <f t="shared" si="1"/>
        <v>7000000</v>
      </c>
      <c r="E15" s="14">
        <f t="shared" si="32"/>
        <v>16000000</v>
      </c>
      <c r="F15" s="9">
        <f t="shared" si="46"/>
        <v>1</v>
      </c>
      <c r="G15" s="9">
        <f t="shared" ref="G14:G52" si="54">IF(F5&gt;=1,F5,0)</f>
        <v>0</v>
      </c>
      <c r="H15" s="18">
        <f t="shared" si="37"/>
        <v>8</v>
      </c>
      <c r="J15" s="30">
        <v>13</v>
      </c>
      <c r="K15" s="18">
        <f t="shared" si="38"/>
        <v>2</v>
      </c>
      <c r="L15" s="19">
        <f t="shared" si="12"/>
        <v>20000000</v>
      </c>
      <c r="M15" s="10">
        <f t="shared" si="2"/>
        <v>3000000</v>
      </c>
      <c r="N15" s="14">
        <f t="shared" si="33"/>
        <v>7000000</v>
      </c>
      <c r="O15" s="9">
        <f t="shared" si="26"/>
        <v>0</v>
      </c>
      <c r="P15" s="9">
        <f t="shared" si="47"/>
        <v>0</v>
      </c>
      <c r="Q15" s="18">
        <f t="shared" si="39"/>
        <v>2</v>
      </c>
      <c r="S15" s="18">
        <v>13</v>
      </c>
      <c r="T15" s="18">
        <f t="shared" si="40"/>
        <v>4</v>
      </c>
      <c r="U15" s="19">
        <f t="shared" si="15"/>
        <v>40000000</v>
      </c>
      <c r="V15" s="10">
        <f t="shared" si="3"/>
        <v>8000000</v>
      </c>
      <c r="W15" s="14">
        <f t="shared" si="34"/>
        <v>16000000</v>
      </c>
      <c r="X15" s="9">
        <f t="shared" si="48"/>
        <v>1</v>
      </c>
      <c r="Y15" s="9">
        <f t="shared" si="49"/>
        <v>0</v>
      </c>
      <c r="Z15" s="18">
        <f t="shared" si="41"/>
        <v>5</v>
      </c>
      <c r="AC15" s="18">
        <v>13</v>
      </c>
      <c r="AD15" s="18">
        <f t="shared" si="42"/>
        <v>0</v>
      </c>
      <c r="AE15" s="37">
        <f t="shared" si="17"/>
        <v>0</v>
      </c>
      <c r="AF15" s="27">
        <f t="shared" si="18"/>
        <v>0</v>
      </c>
      <c r="AG15" s="39">
        <f>AD15*AF15*$AM$4</f>
        <v>0</v>
      </c>
      <c r="AH15" s="27">
        <f t="shared" si="19"/>
        <v>8926258.1760000009</v>
      </c>
      <c r="AI15" s="9">
        <f t="shared" si="50"/>
        <v>0</v>
      </c>
      <c r="AJ15" s="9">
        <f t="shared" si="51"/>
        <v>0</v>
      </c>
      <c r="AK15" s="18">
        <f t="shared" si="0"/>
        <v>0</v>
      </c>
      <c r="AL15" s="20">
        <f t="shared" si="6"/>
        <v>8926258.1760000009</v>
      </c>
      <c r="AM15" s="28"/>
      <c r="AN15" s="28"/>
      <c r="AO15" s="28"/>
      <c r="AP15" s="18">
        <v>13</v>
      </c>
      <c r="AQ15" s="18">
        <f t="shared" si="43"/>
        <v>1</v>
      </c>
      <c r="AR15" s="19">
        <f t="shared" si="21"/>
        <v>10000000</v>
      </c>
      <c r="AS15" s="10">
        <f>10000000*(AY7/$AZ$3)</f>
        <v>1454545.4545454546</v>
      </c>
      <c r="AT15" s="14">
        <f t="shared" si="44"/>
        <v>4909090.9090909082</v>
      </c>
      <c r="AU15" s="9">
        <f t="shared" si="52"/>
        <v>0</v>
      </c>
      <c r="AV15" s="9">
        <f t="shared" si="53"/>
        <v>0</v>
      </c>
      <c r="AW15" s="18">
        <f t="shared" si="45"/>
        <v>1</v>
      </c>
      <c r="AY15" s="6"/>
    </row>
    <row r="16" spans="1:52" x14ac:dyDescent="0.25">
      <c r="A16" s="18">
        <v>14</v>
      </c>
      <c r="B16" s="18">
        <f t="shared" si="36"/>
        <v>8</v>
      </c>
      <c r="C16" s="19">
        <f t="shared" si="9"/>
        <v>80000000</v>
      </c>
      <c r="D16" s="10">
        <f t="shared" si="1"/>
        <v>8000000</v>
      </c>
      <c r="E16" s="14">
        <f t="shared" si="32"/>
        <v>14000000</v>
      </c>
      <c r="F16" s="9">
        <f t="shared" si="46"/>
        <v>1</v>
      </c>
      <c r="G16" s="9">
        <f t="shared" si="54"/>
        <v>1</v>
      </c>
      <c r="H16" s="18">
        <f t="shared" si="37"/>
        <v>8</v>
      </c>
      <c r="J16" s="30">
        <v>14</v>
      </c>
      <c r="K16" s="18">
        <f t="shared" si="38"/>
        <v>2</v>
      </c>
      <c r="L16" s="19">
        <f t="shared" si="12"/>
        <v>20000000</v>
      </c>
      <c r="M16" s="10">
        <f t="shared" si="2"/>
        <v>3000000</v>
      </c>
      <c r="N16" s="14">
        <f t="shared" si="33"/>
        <v>10000000</v>
      </c>
      <c r="O16" s="9">
        <f t="shared" si="26"/>
        <v>1</v>
      </c>
      <c r="P16" s="9">
        <f t="shared" si="47"/>
        <v>0</v>
      </c>
      <c r="Q16" s="18">
        <f t="shared" si="39"/>
        <v>3</v>
      </c>
      <c r="S16" s="18">
        <v>14</v>
      </c>
      <c r="T16" s="18">
        <f t="shared" si="40"/>
        <v>5</v>
      </c>
      <c r="U16" s="19">
        <f t="shared" si="15"/>
        <v>50000000</v>
      </c>
      <c r="V16" s="10">
        <f t="shared" si="3"/>
        <v>10000000</v>
      </c>
      <c r="W16" s="14">
        <f t="shared" si="34"/>
        <v>16000000</v>
      </c>
      <c r="X16" s="9">
        <f t="shared" si="48"/>
        <v>1</v>
      </c>
      <c r="Y16" s="9">
        <f t="shared" si="49"/>
        <v>0</v>
      </c>
      <c r="Z16" s="18">
        <f t="shared" si="41"/>
        <v>6</v>
      </c>
      <c r="AC16" s="18">
        <v>14</v>
      </c>
      <c r="AD16" s="18">
        <f t="shared" si="42"/>
        <v>0</v>
      </c>
      <c r="AE16" s="37">
        <f t="shared" si="17"/>
        <v>0</v>
      </c>
      <c r="AF16" s="27">
        <f t="shared" si="18"/>
        <v>0</v>
      </c>
      <c r="AG16" s="39">
        <f>AD16*AF16*$AM$4</f>
        <v>0</v>
      </c>
      <c r="AH16" s="27">
        <f t="shared" si="19"/>
        <v>8926258.1760000009</v>
      </c>
      <c r="AI16" s="9">
        <f t="shared" si="50"/>
        <v>0</v>
      </c>
      <c r="AJ16" s="9">
        <f t="shared" si="51"/>
        <v>0</v>
      </c>
      <c r="AK16" s="18">
        <f t="shared" si="0"/>
        <v>0</v>
      </c>
      <c r="AL16" s="20">
        <f t="shared" si="6"/>
        <v>8926258.1760000009</v>
      </c>
      <c r="AM16" s="28"/>
      <c r="AN16" s="28"/>
      <c r="AO16" s="28"/>
      <c r="AP16" s="18">
        <v>14</v>
      </c>
      <c r="AQ16" s="18">
        <f t="shared" si="43"/>
        <v>1</v>
      </c>
      <c r="AR16" s="19">
        <f t="shared" si="21"/>
        <v>10000000</v>
      </c>
      <c r="AS16" s="10">
        <f>10000000*(AY8/$AZ$3)</f>
        <v>1272727.2727272727</v>
      </c>
      <c r="AT16" s="14">
        <f t="shared" si="44"/>
        <v>6181818.1818181807</v>
      </c>
      <c r="AU16" s="9">
        <f t="shared" si="52"/>
        <v>0</v>
      </c>
      <c r="AV16" s="9">
        <f t="shared" si="53"/>
        <v>0</v>
      </c>
      <c r="AW16" s="18">
        <f t="shared" si="45"/>
        <v>1</v>
      </c>
      <c r="AX16" s="2"/>
      <c r="AY16" s="3"/>
    </row>
    <row r="17" spans="1:55" x14ac:dyDescent="0.25">
      <c r="A17" s="18">
        <v>15</v>
      </c>
      <c r="B17" s="18">
        <f t="shared" si="36"/>
        <v>8</v>
      </c>
      <c r="C17" s="19">
        <f t="shared" si="9"/>
        <v>80000000</v>
      </c>
      <c r="D17" s="10">
        <f t="shared" si="1"/>
        <v>8000000</v>
      </c>
      <c r="E17" s="14">
        <f t="shared" si="32"/>
        <v>12000000</v>
      </c>
      <c r="F17" s="9">
        <f t="shared" si="46"/>
        <v>1</v>
      </c>
      <c r="G17" s="9">
        <f t="shared" si="54"/>
        <v>0</v>
      </c>
      <c r="H17" s="18">
        <f t="shared" si="37"/>
        <v>9</v>
      </c>
      <c r="J17" s="30">
        <v>15</v>
      </c>
      <c r="K17" s="18">
        <f t="shared" si="38"/>
        <v>3</v>
      </c>
      <c r="L17" s="19">
        <f t="shared" si="12"/>
        <v>30000000</v>
      </c>
      <c r="M17" s="10">
        <f t="shared" si="2"/>
        <v>4500000</v>
      </c>
      <c r="N17" s="14">
        <f t="shared" si="33"/>
        <v>4500000</v>
      </c>
      <c r="O17" s="9">
        <f t="shared" si="26"/>
        <v>0</v>
      </c>
      <c r="P17" s="9">
        <f t="shared" si="47"/>
        <v>0</v>
      </c>
      <c r="Q17" s="18">
        <f t="shared" si="39"/>
        <v>3</v>
      </c>
      <c r="S17" s="18">
        <v>15</v>
      </c>
      <c r="T17" s="18">
        <f t="shared" si="40"/>
        <v>6</v>
      </c>
      <c r="U17" s="19">
        <f t="shared" si="15"/>
        <v>60000000</v>
      </c>
      <c r="V17" s="10">
        <f t="shared" si="3"/>
        <v>12000000</v>
      </c>
      <c r="W17" s="14">
        <f t="shared" si="34"/>
        <v>18000000</v>
      </c>
      <c r="X17" s="9">
        <f t="shared" si="48"/>
        <v>1</v>
      </c>
      <c r="Y17" s="9">
        <f t="shared" si="49"/>
        <v>1</v>
      </c>
      <c r="Z17" s="18">
        <f t="shared" si="41"/>
        <v>6</v>
      </c>
      <c r="AC17" s="18">
        <v>15</v>
      </c>
      <c r="AD17" s="18">
        <f t="shared" si="42"/>
        <v>0</v>
      </c>
      <c r="AE17" s="37">
        <f t="shared" si="17"/>
        <v>0</v>
      </c>
      <c r="AF17" s="27">
        <f t="shared" si="18"/>
        <v>0</v>
      </c>
      <c r="AG17" s="39">
        <f>AD17*AF17*$AM$4</f>
        <v>0</v>
      </c>
      <c r="AH17" s="27">
        <f t="shared" si="19"/>
        <v>8926258.1760000009</v>
      </c>
      <c r="AI17" s="9">
        <f t="shared" si="50"/>
        <v>0</v>
      </c>
      <c r="AJ17" s="9">
        <f t="shared" si="51"/>
        <v>0</v>
      </c>
      <c r="AK17" s="18">
        <f t="shared" si="0"/>
        <v>0</v>
      </c>
      <c r="AL17" s="20">
        <f t="shared" si="6"/>
        <v>8926258.1760000009</v>
      </c>
      <c r="AM17" s="28"/>
      <c r="AN17" s="28"/>
      <c r="AO17" s="28"/>
      <c r="AP17" s="18">
        <v>15</v>
      </c>
      <c r="AQ17" s="18">
        <f t="shared" si="43"/>
        <v>1</v>
      </c>
      <c r="AR17" s="19">
        <f t="shared" si="21"/>
        <v>10000000</v>
      </c>
      <c r="AS17" s="10">
        <f>10000000*(AY9/$AZ$3)</f>
        <v>1090909.0909090908</v>
      </c>
      <c r="AT17" s="14">
        <f t="shared" si="44"/>
        <v>7272727.2727272715</v>
      </c>
      <c r="AU17" s="9">
        <f t="shared" si="52"/>
        <v>0</v>
      </c>
      <c r="AV17" s="9">
        <f t="shared" si="53"/>
        <v>0</v>
      </c>
      <c r="AW17" s="18">
        <f t="shared" si="45"/>
        <v>1</v>
      </c>
      <c r="AX17" s="4"/>
      <c r="AY17" s="3"/>
    </row>
    <row r="18" spans="1:55" x14ac:dyDescent="0.25">
      <c r="A18" s="18">
        <v>16</v>
      </c>
      <c r="B18" s="18">
        <f t="shared" si="36"/>
        <v>9</v>
      </c>
      <c r="C18" s="19">
        <f t="shared" si="9"/>
        <v>90000000</v>
      </c>
      <c r="D18" s="10">
        <f t="shared" si="1"/>
        <v>9000000</v>
      </c>
      <c r="E18" s="14">
        <f t="shared" si="32"/>
        <v>11000000</v>
      </c>
      <c r="F18" s="9">
        <f t="shared" si="46"/>
        <v>1</v>
      </c>
      <c r="G18" s="9">
        <f t="shared" si="54"/>
        <v>1</v>
      </c>
      <c r="H18" s="18">
        <f t="shared" si="37"/>
        <v>9</v>
      </c>
      <c r="J18" s="30">
        <v>16</v>
      </c>
      <c r="K18" s="18">
        <f t="shared" si="38"/>
        <v>3</v>
      </c>
      <c r="L18" s="19">
        <f t="shared" si="12"/>
        <v>30000000</v>
      </c>
      <c r="M18" s="10">
        <f t="shared" si="2"/>
        <v>4500000</v>
      </c>
      <c r="N18" s="14">
        <f t="shared" si="33"/>
        <v>9000000</v>
      </c>
      <c r="O18" s="9">
        <f t="shared" si="26"/>
        <v>0</v>
      </c>
      <c r="P18" s="9">
        <f t="shared" si="47"/>
        <v>0</v>
      </c>
      <c r="Q18" s="18">
        <f t="shared" si="39"/>
        <v>3</v>
      </c>
      <c r="S18" s="18">
        <v>16</v>
      </c>
      <c r="T18" s="18">
        <f t="shared" si="40"/>
        <v>6</v>
      </c>
      <c r="U18" s="19">
        <f t="shared" si="15"/>
        <v>60000000</v>
      </c>
      <c r="V18" s="10">
        <f t="shared" si="3"/>
        <v>12000000</v>
      </c>
      <c r="W18" s="14">
        <f t="shared" si="34"/>
        <v>20000000</v>
      </c>
      <c r="X18" s="9">
        <f t="shared" si="48"/>
        <v>2</v>
      </c>
      <c r="Y18" s="9">
        <f t="shared" si="49"/>
        <v>0</v>
      </c>
      <c r="Z18" s="18">
        <f t="shared" si="41"/>
        <v>8</v>
      </c>
      <c r="AC18" s="18">
        <v>16</v>
      </c>
      <c r="AD18" s="18">
        <f t="shared" si="42"/>
        <v>0</v>
      </c>
      <c r="AE18" s="37">
        <f t="shared" si="17"/>
        <v>0</v>
      </c>
      <c r="AF18" s="27">
        <f t="shared" si="18"/>
        <v>0</v>
      </c>
      <c r="AG18" s="39">
        <f>AD18*AF18*$AM$4</f>
        <v>0</v>
      </c>
      <c r="AH18" s="27">
        <f t="shared" si="19"/>
        <v>8926258.1760000009</v>
      </c>
      <c r="AI18" s="9">
        <f t="shared" si="50"/>
        <v>0</v>
      </c>
      <c r="AJ18" s="9">
        <f t="shared" si="51"/>
        <v>0</v>
      </c>
      <c r="AK18" s="18">
        <f t="shared" si="0"/>
        <v>0</v>
      </c>
      <c r="AL18" s="20">
        <f t="shared" si="6"/>
        <v>8926258.1760000009</v>
      </c>
      <c r="AM18" s="28"/>
      <c r="AN18" s="28"/>
      <c r="AO18" s="28"/>
      <c r="AP18" s="18">
        <v>16</v>
      </c>
      <c r="AQ18" s="18">
        <f t="shared" si="43"/>
        <v>1</v>
      </c>
      <c r="AR18" s="19">
        <f t="shared" si="21"/>
        <v>10000000</v>
      </c>
      <c r="AS18" s="10">
        <f>10000000*(AY10/$AZ$3)</f>
        <v>909090.90909090906</v>
      </c>
      <c r="AT18" s="14">
        <f t="shared" si="44"/>
        <v>8181818.1818181807</v>
      </c>
      <c r="AU18" s="9">
        <f t="shared" si="52"/>
        <v>0</v>
      </c>
      <c r="AV18" s="9">
        <f t="shared" si="53"/>
        <v>0</v>
      </c>
      <c r="AW18" s="18">
        <f t="shared" si="45"/>
        <v>1</v>
      </c>
      <c r="AX18" s="4"/>
      <c r="AY18" s="3"/>
    </row>
    <row r="19" spans="1:55" x14ac:dyDescent="0.25">
      <c r="A19" s="18">
        <v>17</v>
      </c>
      <c r="B19" s="18">
        <f t="shared" si="36"/>
        <v>9</v>
      </c>
      <c r="C19" s="19">
        <f t="shared" si="9"/>
        <v>90000000</v>
      </c>
      <c r="D19" s="10">
        <f t="shared" si="1"/>
        <v>9000000</v>
      </c>
      <c r="E19" s="14">
        <f t="shared" si="32"/>
        <v>10000000</v>
      </c>
      <c r="F19" s="9">
        <f t="shared" si="46"/>
        <v>1</v>
      </c>
      <c r="G19" s="9">
        <f t="shared" si="54"/>
        <v>1</v>
      </c>
      <c r="H19" s="18">
        <f t="shared" si="37"/>
        <v>9</v>
      </c>
      <c r="J19" s="30">
        <v>17</v>
      </c>
      <c r="K19" s="18">
        <f t="shared" si="38"/>
        <v>3</v>
      </c>
      <c r="L19" s="19">
        <f t="shared" si="12"/>
        <v>30000000</v>
      </c>
      <c r="M19" s="10">
        <f t="shared" si="2"/>
        <v>4500000</v>
      </c>
      <c r="N19" s="14">
        <f t="shared" si="33"/>
        <v>13500000</v>
      </c>
      <c r="O19" s="9">
        <f t="shared" si="26"/>
        <v>1</v>
      </c>
      <c r="P19" s="9">
        <f t="shared" si="47"/>
        <v>1</v>
      </c>
      <c r="Q19" s="18">
        <f t="shared" si="39"/>
        <v>3</v>
      </c>
      <c r="S19" s="18">
        <v>17</v>
      </c>
      <c r="T19" s="18">
        <f t="shared" si="40"/>
        <v>8</v>
      </c>
      <c r="U19" s="19">
        <f t="shared" si="15"/>
        <v>80000000</v>
      </c>
      <c r="V19" s="10">
        <f t="shared" si="3"/>
        <v>16000000</v>
      </c>
      <c r="W19" s="14">
        <f t="shared" si="34"/>
        <v>16000000</v>
      </c>
      <c r="X19" s="9">
        <f t="shared" si="48"/>
        <v>1</v>
      </c>
      <c r="Y19" s="9">
        <f t="shared" si="49"/>
        <v>0</v>
      </c>
      <c r="Z19" s="18">
        <f t="shared" si="41"/>
        <v>9</v>
      </c>
      <c r="AC19" s="18">
        <v>17</v>
      </c>
      <c r="AD19" s="18">
        <f t="shared" si="42"/>
        <v>0</v>
      </c>
      <c r="AE19" s="37">
        <f t="shared" si="17"/>
        <v>0</v>
      </c>
      <c r="AF19" s="27">
        <f t="shared" si="18"/>
        <v>0</v>
      </c>
      <c r="AG19" s="39">
        <f>AD19*AF19*$AM$4</f>
        <v>0</v>
      </c>
      <c r="AH19" s="27">
        <f t="shared" si="19"/>
        <v>8926258.1760000009</v>
      </c>
      <c r="AI19" s="9">
        <f t="shared" si="50"/>
        <v>0</v>
      </c>
      <c r="AJ19" s="9">
        <f t="shared" si="51"/>
        <v>0</v>
      </c>
      <c r="AK19" s="18">
        <f t="shared" si="0"/>
        <v>0</v>
      </c>
      <c r="AL19" s="20">
        <f t="shared" si="6"/>
        <v>8926258.1760000009</v>
      </c>
      <c r="AM19" s="28"/>
      <c r="AN19" s="28"/>
      <c r="AO19" s="28"/>
      <c r="AP19" s="18">
        <v>17</v>
      </c>
      <c r="AQ19" s="18">
        <f t="shared" si="43"/>
        <v>1</v>
      </c>
      <c r="AR19" s="19">
        <f t="shared" si="21"/>
        <v>10000000</v>
      </c>
      <c r="AS19" s="10">
        <f>10000000*(AY11/$AZ$3)</f>
        <v>727272.72727272729</v>
      </c>
      <c r="AT19" s="14">
        <f t="shared" si="44"/>
        <v>8909090.9090909082</v>
      </c>
      <c r="AU19" s="9">
        <f t="shared" si="52"/>
        <v>0</v>
      </c>
      <c r="AV19" s="9">
        <f t="shared" si="53"/>
        <v>0</v>
      </c>
      <c r="AW19" s="18">
        <f t="shared" si="45"/>
        <v>1</v>
      </c>
      <c r="AX19" s="4"/>
      <c r="AY19" s="3"/>
    </row>
    <row r="20" spans="1:55" x14ac:dyDescent="0.25">
      <c r="A20" s="18">
        <v>18</v>
      </c>
      <c r="B20" s="18">
        <f t="shared" si="36"/>
        <v>9</v>
      </c>
      <c r="C20" s="19">
        <f t="shared" si="9"/>
        <v>90000000</v>
      </c>
      <c r="D20" s="10">
        <f t="shared" si="1"/>
        <v>9000000</v>
      </c>
      <c r="E20" s="14">
        <f t="shared" si="32"/>
        <v>9000000</v>
      </c>
      <c r="F20" s="9">
        <f t="shared" si="46"/>
        <v>0</v>
      </c>
      <c r="G20" s="9">
        <f t="shared" si="54"/>
        <v>1</v>
      </c>
      <c r="H20" s="18">
        <f t="shared" si="37"/>
        <v>8</v>
      </c>
      <c r="J20" s="30">
        <v>18</v>
      </c>
      <c r="K20" s="18">
        <f t="shared" si="38"/>
        <v>3</v>
      </c>
      <c r="L20" s="19">
        <f t="shared" si="12"/>
        <v>30000000</v>
      </c>
      <c r="M20" s="10">
        <f t="shared" si="2"/>
        <v>4500000</v>
      </c>
      <c r="N20" s="14">
        <f t="shared" si="33"/>
        <v>8000000</v>
      </c>
      <c r="O20" s="9">
        <f t="shared" si="26"/>
        <v>0</v>
      </c>
      <c r="P20" s="9">
        <f t="shared" si="47"/>
        <v>0</v>
      </c>
      <c r="Q20" s="18">
        <f t="shared" si="39"/>
        <v>3</v>
      </c>
      <c r="S20" s="18">
        <v>18</v>
      </c>
      <c r="T20" s="18">
        <f t="shared" si="40"/>
        <v>9</v>
      </c>
      <c r="U20" s="19">
        <f t="shared" si="15"/>
        <v>90000000</v>
      </c>
      <c r="V20" s="10">
        <f t="shared" si="3"/>
        <v>18000000</v>
      </c>
      <c r="W20" s="14">
        <f t="shared" si="34"/>
        <v>24000000</v>
      </c>
      <c r="X20" s="9">
        <f t="shared" si="48"/>
        <v>2</v>
      </c>
      <c r="Y20" s="9">
        <f t="shared" si="49"/>
        <v>1</v>
      </c>
      <c r="Z20" s="18">
        <f t="shared" si="41"/>
        <v>10</v>
      </c>
      <c r="AC20" s="18">
        <v>18</v>
      </c>
      <c r="AD20" s="18">
        <f t="shared" si="42"/>
        <v>0</v>
      </c>
      <c r="AE20" s="37">
        <f t="shared" si="17"/>
        <v>0</v>
      </c>
      <c r="AF20" s="27">
        <f t="shared" si="18"/>
        <v>0</v>
      </c>
      <c r="AG20" s="39">
        <f>AD20*AF20*$AM$4</f>
        <v>0</v>
      </c>
      <c r="AH20" s="27">
        <f t="shared" si="19"/>
        <v>8926258.1760000009</v>
      </c>
      <c r="AI20" s="9">
        <f t="shared" si="50"/>
        <v>0</v>
      </c>
      <c r="AJ20" s="9">
        <f t="shared" si="51"/>
        <v>0</v>
      </c>
      <c r="AK20" s="18">
        <f t="shared" si="0"/>
        <v>0</v>
      </c>
      <c r="AL20" s="20">
        <f t="shared" si="6"/>
        <v>8926258.1760000009</v>
      </c>
      <c r="AM20" s="28"/>
      <c r="AN20" s="28"/>
      <c r="AO20" s="28"/>
      <c r="AP20" s="18">
        <v>18</v>
      </c>
      <c r="AQ20" s="18">
        <f t="shared" si="43"/>
        <v>1</v>
      </c>
      <c r="AR20" s="19">
        <f t="shared" si="21"/>
        <v>10000000</v>
      </c>
      <c r="AS20" s="10">
        <f>10000000*(AY12/$AZ$3)</f>
        <v>545454.54545454541</v>
      </c>
      <c r="AT20" s="14">
        <f t="shared" si="44"/>
        <v>9454545.4545454532</v>
      </c>
      <c r="AU20" s="9">
        <f t="shared" si="52"/>
        <v>0</v>
      </c>
      <c r="AV20" s="9">
        <f t="shared" si="53"/>
        <v>0</v>
      </c>
      <c r="AW20" s="18">
        <f t="shared" si="45"/>
        <v>1</v>
      </c>
      <c r="AX20" s="4"/>
      <c r="AY20" s="3"/>
    </row>
    <row r="21" spans="1:55" x14ac:dyDescent="0.25">
      <c r="A21" s="18">
        <v>19</v>
      </c>
      <c r="B21" s="18">
        <f t="shared" si="36"/>
        <v>8</v>
      </c>
      <c r="C21" s="19">
        <f t="shared" si="9"/>
        <v>80000000</v>
      </c>
      <c r="D21" s="10">
        <f t="shared" si="1"/>
        <v>8000000</v>
      </c>
      <c r="E21" s="14">
        <f t="shared" si="32"/>
        <v>17000000</v>
      </c>
      <c r="F21" s="9">
        <f t="shared" si="46"/>
        <v>1</v>
      </c>
      <c r="G21" s="9">
        <f t="shared" si="54"/>
        <v>1</v>
      </c>
      <c r="H21" s="18">
        <f t="shared" si="37"/>
        <v>8</v>
      </c>
      <c r="J21" s="30">
        <v>19</v>
      </c>
      <c r="K21" s="18">
        <f t="shared" si="38"/>
        <v>3</v>
      </c>
      <c r="L21" s="19">
        <f t="shared" si="12"/>
        <v>30000000</v>
      </c>
      <c r="M21" s="10">
        <f t="shared" si="2"/>
        <v>4500000</v>
      </c>
      <c r="N21" s="14">
        <f t="shared" si="33"/>
        <v>12500000</v>
      </c>
      <c r="O21" s="9">
        <f t="shared" si="26"/>
        <v>1</v>
      </c>
      <c r="P21" s="9">
        <f t="shared" si="47"/>
        <v>0</v>
      </c>
      <c r="Q21" s="18">
        <f t="shared" si="39"/>
        <v>4</v>
      </c>
      <c r="S21" s="18">
        <v>19</v>
      </c>
      <c r="T21" s="18">
        <f t="shared" si="40"/>
        <v>10</v>
      </c>
      <c r="U21" s="19">
        <f t="shared" si="15"/>
        <v>100000000</v>
      </c>
      <c r="V21" s="10">
        <f t="shared" si="3"/>
        <v>20000000</v>
      </c>
      <c r="W21" s="14">
        <f t="shared" si="34"/>
        <v>24000000</v>
      </c>
      <c r="X21" s="9">
        <f t="shared" si="48"/>
        <v>2</v>
      </c>
      <c r="Y21" s="9">
        <f t="shared" si="49"/>
        <v>0</v>
      </c>
      <c r="Z21" s="18">
        <f t="shared" si="41"/>
        <v>12</v>
      </c>
      <c r="AC21" s="18">
        <v>19</v>
      </c>
      <c r="AD21" s="18">
        <f t="shared" si="42"/>
        <v>0</v>
      </c>
      <c r="AE21" s="37">
        <f t="shared" si="17"/>
        <v>0</v>
      </c>
      <c r="AF21" s="27">
        <f t="shared" si="18"/>
        <v>0</v>
      </c>
      <c r="AG21" s="39">
        <f>AD21*AF21*$AM$4</f>
        <v>0</v>
      </c>
      <c r="AH21" s="27">
        <f t="shared" si="19"/>
        <v>8926258.1760000009</v>
      </c>
      <c r="AI21" s="9">
        <f t="shared" si="50"/>
        <v>0</v>
      </c>
      <c r="AJ21" s="9">
        <f t="shared" si="51"/>
        <v>0</v>
      </c>
      <c r="AK21" s="18">
        <f t="shared" si="0"/>
        <v>0</v>
      </c>
      <c r="AL21" s="20">
        <f t="shared" si="6"/>
        <v>8926258.1760000009</v>
      </c>
      <c r="AM21" s="28"/>
      <c r="AN21" s="28"/>
      <c r="AO21" s="28"/>
      <c r="AP21" s="18">
        <v>19</v>
      </c>
      <c r="AQ21" s="18">
        <f t="shared" si="43"/>
        <v>1</v>
      </c>
      <c r="AR21" s="19">
        <f t="shared" si="21"/>
        <v>10000000</v>
      </c>
      <c r="AS21" s="10">
        <f>10000000*(AY13/$AZ$3)</f>
        <v>363636.36363636365</v>
      </c>
      <c r="AT21" s="14">
        <f t="shared" si="44"/>
        <v>9818181.8181818165</v>
      </c>
      <c r="AU21" s="9">
        <f t="shared" si="52"/>
        <v>0</v>
      </c>
      <c r="AV21" s="9">
        <f t="shared" si="53"/>
        <v>0</v>
      </c>
      <c r="AW21" s="18">
        <f t="shared" si="45"/>
        <v>1</v>
      </c>
      <c r="AX21" s="4"/>
      <c r="AY21" s="3"/>
    </row>
    <row r="22" spans="1:55" x14ac:dyDescent="0.25">
      <c r="A22" s="18">
        <v>20</v>
      </c>
      <c r="B22" s="18">
        <f t="shared" si="36"/>
        <v>8</v>
      </c>
      <c r="C22" s="19">
        <f t="shared" si="9"/>
        <v>80000000</v>
      </c>
      <c r="D22" s="10">
        <f t="shared" si="1"/>
        <v>8000000</v>
      </c>
      <c r="E22" s="14">
        <f t="shared" si="32"/>
        <v>15000000</v>
      </c>
      <c r="F22" s="9">
        <f t="shared" si="46"/>
        <v>1</v>
      </c>
      <c r="G22" s="9">
        <f t="shared" si="54"/>
        <v>1</v>
      </c>
      <c r="H22" s="18">
        <f t="shared" si="37"/>
        <v>8</v>
      </c>
      <c r="J22" s="30">
        <v>20</v>
      </c>
      <c r="K22" s="18">
        <f t="shared" si="38"/>
        <v>4</v>
      </c>
      <c r="L22" s="19">
        <f t="shared" si="12"/>
        <v>40000000</v>
      </c>
      <c r="M22" s="10">
        <f t="shared" si="2"/>
        <v>6000000</v>
      </c>
      <c r="N22" s="14">
        <f t="shared" si="33"/>
        <v>8500000</v>
      </c>
      <c r="O22" s="9">
        <f t="shared" si="26"/>
        <v>0</v>
      </c>
      <c r="P22" s="9">
        <f t="shared" si="47"/>
        <v>0</v>
      </c>
      <c r="Q22" s="18">
        <f t="shared" si="39"/>
        <v>4</v>
      </c>
      <c r="S22" s="18">
        <v>20</v>
      </c>
      <c r="T22" s="18">
        <f t="shared" si="40"/>
        <v>12</v>
      </c>
      <c r="U22" s="19">
        <f t="shared" si="15"/>
        <v>120000000</v>
      </c>
      <c r="V22" s="10">
        <f t="shared" si="3"/>
        <v>24000000</v>
      </c>
      <c r="W22" s="14">
        <f t="shared" si="34"/>
        <v>28000000</v>
      </c>
      <c r="X22" s="9">
        <f t="shared" si="48"/>
        <v>2</v>
      </c>
      <c r="Y22" s="9">
        <f t="shared" si="49"/>
        <v>1</v>
      </c>
      <c r="Z22" s="18">
        <f t="shared" si="41"/>
        <v>13</v>
      </c>
      <c r="AC22" s="18">
        <v>20</v>
      </c>
      <c r="AD22" s="18">
        <f t="shared" si="42"/>
        <v>0</v>
      </c>
      <c r="AE22" s="37">
        <f t="shared" si="17"/>
        <v>0</v>
      </c>
      <c r="AF22" s="27">
        <f t="shared" si="18"/>
        <v>0</v>
      </c>
      <c r="AG22" s="39">
        <f>AD22*AF22*$AM$4</f>
        <v>0</v>
      </c>
      <c r="AH22" s="27">
        <f t="shared" si="19"/>
        <v>8926258.1760000009</v>
      </c>
      <c r="AI22" s="9">
        <f t="shared" si="50"/>
        <v>0</v>
      </c>
      <c r="AJ22" s="9">
        <f t="shared" si="51"/>
        <v>0</v>
      </c>
      <c r="AK22" s="18">
        <f t="shared" si="0"/>
        <v>0</v>
      </c>
      <c r="AL22" s="20">
        <f t="shared" si="6"/>
        <v>8926258.1760000009</v>
      </c>
      <c r="AM22" s="28"/>
      <c r="AN22" s="28"/>
      <c r="AO22" s="28"/>
      <c r="AP22" s="18">
        <v>20</v>
      </c>
      <c r="AQ22" s="18">
        <f t="shared" si="43"/>
        <v>1</v>
      </c>
      <c r="AR22" s="19">
        <f t="shared" si="21"/>
        <v>10000000</v>
      </c>
      <c r="AS22" s="10">
        <f>10000000*(AY14/$AZ$3)</f>
        <v>181818.18181818182</v>
      </c>
      <c r="AT22" s="14">
        <f t="shared" si="44"/>
        <v>9999999.9999999981</v>
      </c>
      <c r="AU22" s="9">
        <f t="shared" si="52"/>
        <v>1</v>
      </c>
      <c r="AV22" s="9">
        <f t="shared" si="53"/>
        <v>1</v>
      </c>
      <c r="AW22" s="18">
        <f t="shared" si="45"/>
        <v>1</v>
      </c>
      <c r="AX22" s="4"/>
      <c r="AY22" s="3"/>
    </row>
    <row r="23" spans="1:55" x14ac:dyDescent="0.25">
      <c r="A23" s="18">
        <v>21</v>
      </c>
      <c r="B23" s="18">
        <f t="shared" si="36"/>
        <v>8</v>
      </c>
      <c r="C23" s="19">
        <f t="shared" si="9"/>
        <v>80000000</v>
      </c>
      <c r="D23" s="10">
        <f t="shared" si="1"/>
        <v>8000000</v>
      </c>
      <c r="E23" s="14">
        <f t="shared" si="32"/>
        <v>13000000</v>
      </c>
      <c r="F23" s="9">
        <f t="shared" si="46"/>
        <v>1</v>
      </c>
      <c r="G23" s="9">
        <f t="shared" si="54"/>
        <v>1</v>
      </c>
      <c r="H23" s="18">
        <f t="shared" si="37"/>
        <v>8</v>
      </c>
      <c r="J23" s="30">
        <v>21</v>
      </c>
      <c r="K23" s="18">
        <f t="shared" si="38"/>
        <v>4</v>
      </c>
      <c r="L23" s="19">
        <f t="shared" si="12"/>
        <v>40000000</v>
      </c>
      <c r="M23" s="10">
        <f t="shared" si="2"/>
        <v>6000000</v>
      </c>
      <c r="N23" s="14">
        <f t="shared" si="33"/>
        <v>14500000</v>
      </c>
      <c r="O23" s="9">
        <f t="shared" si="26"/>
        <v>1</v>
      </c>
      <c r="P23" s="9">
        <f t="shared" si="47"/>
        <v>1</v>
      </c>
      <c r="Q23" s="18">
        <f t="shared" si="39"/>
        <v>4</v>
      </c>
      <c r="S23" s="18">
        <v>21</v>
      </c>
      <c r="T23" s="18">
        <f t="shared" si="40"/>
        <v>13</v>
      </c>
      <c r="U23" s="19">
        <f t="shared" si="15"/>
        <v>130000000</v>
      </c>
      <c r="V23" s="10">
        <f t="shared" si="3"/>
        <v>26000000</v>
      </c>
      <c r="W23" s="14">
        <f t="shared" si="34"/>
        <v>34000000</v>
      </c>
      <c r="X23" s="9">
        <f t="shared" si="48"/>
        <v>3</v>
      </c>
      <c r="Y23" s="9">
        <f t="shared" si="49"/>
        <v>1</v>
      </c>
      <c r="Z23" s="18">
        <f t="shared" si="41"/>
        <v>15</v>
      </c>
      <c r="AC23" s="18">
        <v>21</v>
      </c>
      <c r="AD23" s="18">
        <f t="shared" si="42"/>
        <v>0</v>
      </c>
      <c r="AE23" s="37">
        <f t="shared" si="17"/>
        <v>0</v>
      </c>
      <c r="AF23" s="27">
        <f t="shared" si="18"/>
        <v>0</v>
      </c>
      <c r="AG23" s="39">
        <f>AD23*AF23*$AM$4</f>
        <v>0</v>
      </c>
      <c r="AH23" s="27">
        <f t="shared" si="19"/>
        <v>8926258.1760000009</v>
      </c>
      <c r="AI23" s="9">
        <f t="shared" si="50"/>
        <v>0</v>
      </c>
      <c r="AJ23" s="9">
        <f t="shared" si="51"/>
        <v>0</v>
      </c>
      <c r="AK23" s="18">
        <f t="shared" si="0"/>
        <v>0</v>
      </c>
      <c r="AL23" s="20">
        <f t="shared" si="6"/>
        <v>8926258.1760000009</v>
      </c>
      <c r="AM23" s="28"/>
      <c r="AN23" s="28"/>
      <c r="AO23" s="28"/>
      <c r="AP23" s="18">
        <v>21</v>
      </c>
      <c r="AQ23" s="18">
        <f t="shared" si="43"/>
        <v>1</v>
      </c>
      <c r="AR23" s="19">
        <f t="shared" si="21"/>
        <v>10000000</v>
      </c>
      <c r="AS23" s="10">
        <f>10000000*(AY5/$AZ$3)</f>
        <v>1818181.8181818181</v>
      </c>
      <c r="AT23" s="14">
        <f t="shared" si="44"/>
        <v>1818181.8181818165</v>
      </c>
      <c r="AU23" s="9">
        <f t="shared" si="52"/>
        <v>0</v>
      </c>
      <c r="AV23" s="9">
        <f t="shared" si="53"/>
        <v>0</v>
      </c>
      <c r="AW23" s="18">
        <f t="shared" si="45"/>
        <v>1</v>
      </c>
      <c r="AX23" s="4"/>
      <c r="AY23" s="3"/>
    </row>
    <row r="24" spans="1:55" x14ac:dyDescent="0.25">
      <c r="A24" s="18">
        <v>22</v>
      </c>
      <c r="B24" s="18">
        <f t="shared" si="36"/>
        <v>8</v>
      </c>
      <c r="C24" s="19">
        <f t="shared" si="9"/>
        <v>80000000</v>
      </c>
      <c r="D24" s="10">
        <f t="shared" si="1"/>
        <v>8000000</v>
      </c>
      <c r="E24" s="14">
        <f t="shared" si="32"/>
        <v>11000000</v>
      </c>
      <c r="F24" s="9">
        <f t="shared" si="46"/>
        <v>1</v>
      </c>
      <c r="G24" s="9">
        <f t="shared" si="54"/>
        <v>0</v>
      </c>
      <c r="H24" s="18">
        <f t="shared" si="37"/>
        <v>9</v>
      </c>
      <c r="J24" s="30">
        <v>22</v>
      </c>
      <c r="K24" s="18">
        <f t="shared" si="38"/>
        <v>4</v>
      </c>
      <c r="L24" s="19">
        <f t="shared" si="12"/>
        <v>40000000</v>
      </c>
      <c r="M24" s="10">
        <f t="shared" si="2"/>
        <v>6000000</v>
      </c>
      <c r="N24" s="14">
        <f t="shared" si="33"/>
        <v>10500000</v>
      </c>
      <c r="O24" s="9">
        <f t="shared" si="26"/>
        <v>1</v>
      </c>
      <c r="P24" s="9">
        <f t="shared" si="47"/>
        <v>0</v>
      </c>
      <c r="Q24" s="18">
        <f t="shared" si="39"/>
        <v>5</v>
      </c>
      <c r="S24" s="18">
        <v>22</v>
      </c>
      <c r="T24" s="18">
        <f t="shared" si="40"/>
        <v>15</v>
      </c>
      <c r="U24" s="19">
        <f t="shared" si="15"/>
        <v>150000000</v>
      </c>
      <c r="V24" s="10">
        <f t="shared" si="3"/>
        <v>30000000</v>
      </c>
      <c r="W24" s="14">
        <f t="shared" si="34"/>
        <v>34000000</v>
      </c>
      <c r="X24" s="9">
        <f t="shared" si="48"/>
        <v>3</v>
      </c>
      <c r="Y24" s="9">
        <f t="shared" si="49"/>
        <v>0</v>
      </c>
      <c r="Z24" s="18">
        <f t="shared" si="41"/>
        <v>18</v>
      </c>
      <c r="AC24" s="18">
        <v>22</v>
      </c>
      <c r="AD24" s="18">
        <f t="shared" si="42"/>
        <v>0</v>
      </c>
      <c r="AE24" s="37">
        <f t="shared" si="17"/>
        <v>0</v>
      </c>
      <c r="AF24" s="27">
        <f t="shared" si="18"/>
        <v>0</v>
      </c>
      <c r="AG24" s="39">
        <f>AD24*AF24*$AM$4</f>
        <v>0</v>
      </c>
      <c r="AH24" s="27">
        <f t="shared" si="19"/>
        <v>8926258.1760000009</v>
      </c>
      <c r="AI24" s="9">
        <f t="shared" si="50"/>
        <v>0</v>
      </c>
      <c r="AJ24" s="9">
        <f t="shared" si="51"/>
        <v>0</v>
      </c>
      <c r="AK24" s="18">
        <f t="shared" si="0"/>
        <v>0</v>
      </c>
      <c r="AL24" s="20">
        <f t="shared" si="6"/>
        <v>8926258.1760000009</v>
      </c>
      <c r="AM24" s="28"/>
      <c r="AN24" s="28"/>
      <c r="AO24" s="28"/>
      <c r="AP24" s="18">
        <v>22</v>
      </c>
      <c r="AQ24" s="18">
        <f t="shared" si="43"/>
        <v>1</v>
      </c>
      <c r="AR24" s="19">
        <f t="shared" si="21"/>
        <v>10000000</v>
      </c>
      <c r="AS24" s="10">
        <f>10000000*(AY6/$AZ$3)</f>
        <v>1636363.6363636365</v>
      </c>
      <c r="AT24" s="14">
        <f t="shared" si="44"/>
        <v>3454545.4545454532</v>
      </c>
      <c r="AU24" s="9">
        <f t="shared" si="52"/>
        <v>0</v>
      </c>
      <c r="AV24" s="9">
        <f t="shared" si="53"/>
        <v>0</v>
      </c>
      <c r="AW24" s="18">
        <f t="shared" si="45"/>
        <v>1</v>
      </c>
      <c r="AX24" s="4"/>
      <c r="AY24" s="3"/>
    </row>
    <row r="25" spans="1:55" x14ac:dyDescent="0.25">
      <c r="A25" s="18">
        <v>23</v>
      </c>
      <c r="B25" s="18">
        <f t="shared" si="36"/>
        <v>9</v>
      </c>
      <c r="C25" s="19">
        <f t="shared" si="9"/>
        <v>90000000</v>
      </c>
      <c r="D25" s="10">
        <f t="shared" si="1"/>
        <v>9000000</v>
      </c>
      <c r="E25" s="14">
        <f t="shared" si="32"/>
        <v>10000000</v>
      </c>
      <c r="F25" s="9">
        <f t="shared" si="46"/>
        <v>1</v>
      </c>
      <c r="G25" s="9">
        <f t="shared" si="54"/>
        <v>1</v>
      </c>
      <c r="H25" s="18">
        <f t="shared" si="37"/>
        <v>9</v>
      </c>
      <c r="J25" s="30">
        <v>23</v>
      </c>
      <c r="K25" s="18">
        <f t="shared" si="38"/>
        <v>5</v>
      </c>
      <c r="L25" s="19">
        <f t="shared" si="12"/>
        <v>50000000</v>
      </c>
      <c r="M25" s="10">
        <f t="shared" si="2"/>
        <v>7500000</v>
      </c>
      <c r="N25" s="14">
        <f t="shared" si="33"/>
        <v>8000000</v>
      </c>
      <c r="O25" s="9">
        <f t="shared" si="26"/>
        <v>0</v>
      </c>
      <c r="P25" s="9">
        <f t="shared" si="47"/>
        <v>0</v>
      </c>
      <c r="Q25" s="18">
        <f t="shared" si="39"/>
        <v>5</v>
      </c>
      <c r="S25" s="18">
        <v>23</v>
      </c>
      <c r="T25" s="18">
        <f t="shared" si="40"/>
        <v>18</v>
      </c>
      <c r="U25" s="19">
        <f t="shared" si="15"/>
        <v>180000000</v>
      </c>
      <c r="V25" s="10">
        <f t="shared" si="3"/>
        <v>36000000</v>
      </c>
      <c r="W25" s="14">
        <f t="shared" si="34"/>
        <v>40000000</v>
      </c>
      <c r="X25" s="9">
        <f t="shared" si="48"/>
        <v>4</v>
      </c>
      <c r="Y25" s="9">
        <f t="shared" si="49"/>
        <v>1</v>
      </c>
      <c r="Z25" s="18">
        <f t="shared" si="41"/>
        <v>21</v>
      </c>
      <c r="AC25" s="18">
        <v>23</v>
      </c>
      <c r="AD25" s="18">
        <f t="shared" si="42"/>
        <v>0</v>
      </c>
      <c r="AE25" s="37">
        <f t="shared" si="17"/>
        <v>0</v>
      </c>
      <c r="AF25" s="27">
        <f t="shared" si="18"/>
        <v>0</v>
      </c>
      <c r="AG25" s="39">
        <f>AD25*AF25*$AM$4</f>
        <v>0</v>
      </c>
      <c r="AH25" s="27">
        <f t="shared" si="19"/>
        <v>8926258.1760000009</v>
      </c>
      <c r="AI25" s="9">
        <f t="shared" si="50"/>
        <v>0</v>
      </c>
      <c r="AJ25" s="9">
        <f t="shared" si="51"/>
        <v>0</v>
      </c>
      <c r="AK25" s="18">
        <f t="shared" si="0"/>
        <v>0</v>
      </c>
      <c r="AL25" s="20">
        <f t="shared" si="6"/>
        <v>8926258.1760000009</v>
      </c>
      <c r="AM25" s="28"/>
      <c r="AN25" s="28"/>
      <c r="AO25" s="28"/>
      <c r="AP25" s="18">
        <v>23</v>
      </c>
      <c r="AQ25" s="18">
        <f t="shared" si="43"/>
        <v>1</v>
      </c>
      <c r="AR25" s="19">
        <f t="shared" si="21"/>
        <v>10000000</v>
      </c>
      <c r="AS25" s="10">
        <f>10000000*(AY7/$AZ$3)</f>
        <v>1454545.4545454546</v>
      </c>
      <c r="AT25" s="14">
        <f t="shared" si="44"/>
        <v>4909090.9090909082</v>
      </c>
      <c r="AU25" s="9">
        <f t="shared" si="52"/>
        <v>0</v>
      </c>
      <c r="AV25" s="9">
        <f t="shared" si="53"/>
        <v>0</v>
      </c>
      <c r="AW25" s="18">
        <f t="shared" si="45"/>
        <v>1</v>
      </c>
      <c r="AX25" s="4"/>
      <c r="AY25" s="3"/>
    </row>
    <row r="26" spans="1:55" ht="15.75" x14ac:dyDescent="0.25">
      <c r="A26" s="18">
        <v>24</v>
      </c>
      <c r="B26" s="18">
        <f t="shared" si="36"/>
        <v>9</v>
      </c>
      <c r="C26" s="19">
        <f t="shared" si="9"/>
        <v>90000000</v>
      </c>
      <c r="D26" s="10">
        <f t="shared" si="1"/>
        <v>9000000</v>
      </c>
      <c r="E26" s="14">
        <f t="shared" si="32"/>
        <v>9000000</v>
      </c>
      <c r="F26" s="9">
        <f t="shared" si="46"/>
        <v>0</v>
      </c>
      <c r="G26" s="9">
        <f t="shared" si="54"/>
        <v>1</v>
      </c>
      <c r="H26" s="18">
        <f t="shared" si="37"/>
        <v>8</v>
      </c>
      <c r="J26" s="30">
        <v>24</v>
      </c>
      <c r="K26" s="18">
        <f t="shared" si="38"/>
        <v>5</v>
      </c>
      <c r="L26" s="19">
        <f t="shared" si="12"/>
        <v>50000000</v>
      </c>
      <c r="M26" s="10">
        <f t="shared" si="2"/>
        <v>7500000</v>
      </c>
      <c r="N26" s="14">
        <f t="shared" si="33"/>
        <v>15500000</v>
      </c>
      <c r="O26" s="9">
        <f t="shared" si="26"/>
        <v>1</v>
      </c>
      <c r="P26" s="9">
        <f t="shared" si="47"/>
        <v>1</v>
      </c>
      <c r="Q26" s="18">
        <f t="shared" si="39"/>
        <v>5</v>
      </c>
      <c r="S26" s="18">
        <v>24</v>
      </c>
      <c r="T26" s="18">
        <f t="shared" si="40"/>
        <v>21</v>
      </c>
      <c r="U26" s="19">
        <f t="shared" si="15"/>
        <v>210000000</v>
      </c>
      <c r="V26" s="10">
        <f t="shared" si="3"/>
        <v>42000000</v>
      </c>
      <c r="W26" s="14">
        <f t="shared" si="34"/>
        <v>42000000</v>
      </c>
      <c r="X26" s="9">
        <f t="shared" si="48"/>
        <v>4</v>
      </c>
      <c r="Y26" s="9">
        <f t="shared" si="49"/>
        <v>1</v>
      </c>
      <c r="Z26" s="18">
        <f t="shared" si="41"/>
        <v>24</v>
      </c>
      <c r="AC26" s="18">
        <v>24</v>
      </c>
      <c r="AD26" s="18">
        <f t="shared" si="42"/>
        <v>0</v>
      </c>
      <c r="AE26" s="37">
        <f t="shared" si="17"/>
        <v>0</v>
      </c>
      <c r="AF26" s="27">
        <f t="shared" si="18"/>
        <v>0</v>
      </c>
      <c r="AG26" s="39">
        <f>AD26*AF26*$AM$4</f>
        <v>0</v>
      </c>
      <c r="AH26" s="27">
        <f t="shared" si="19"/>
        <v>8926258.1760000009</v>
      </c>
      <c r="AI26" s="9">
        <f t="shared" si="50"/>
        <v>0</v>
      </c>
      <c r="AJ26" s="9">
        <f t="shared" si="51"/>
        <v>0</v>
      </c>
      <c r="AK26" s="18">
        <f t="shared" si="0"/>
        <v>0</v>
      </c>
      <c r="AL26" s="20">
        <f t="shared" si="6"/>
        <v>8926258.1760000009</v>
      </c>
      <c r="AM26" s="28"/>
      <c r="AN26" s="28"/>
      <c r="AO26" s="28"/>
      <c r="AP26" s="18">
        <v>24</v>
      </c>
      <c r="AQ26" s="18">
        <f t="shared" si="43"/>
        <v>1</v>
      </c>
      <c r="AR26" s="19">
        <f t="shared" si="21"/>
        <v>10000000</v>
      </c>
      <c r="AS26" s="10">
        <f>10000000*(AY8/$AZ$3)</f>
        <v>1272727.2727272727</v>
      </c>
      <c r="AT26" s="14">
        <f t="shared" si="44"/>
        <v>6181818.1818181807</v>
      </c>
      <c r="AU26" s="9">
        <f t="shared" si="52"/>
        <v>0</v>
      </c>
      <c r="AV26" s="9">
        <f t="shared" si="53"/>
        <v>0</v>
      </c>
      <c r="AW26" s="18">
        <f t="shared" si="45"/>
        <v>1</v>
      </c>
      <c r="AX26" s="4"/>
      <c r="AY26" s="3"/>
      <c r="BA26" s="1"/>
      <c r="BB26" s="1"/>
      <c r="BC26" s="31"/>
    </row>
    <row r="27" spans="1:55" ht="15" customHeight="1" x14ac:dyDescent="0.25">
      <c r="A27" s="18">
        <v>25</v>
      </c>
      <c r="B27" s="18">
        <f t="shared" si="36"/>
        <v>8</v>
      </c>
      <c r="C27" s="19">
        <f t="shared" si="9"/>
        <v>80000000</v>
      </c>
      <c r="D27" s="10">
        <f t="shared" si="1"/>
        <v>8000000</v>
      </c>
      <c r="E27" s="14">
        <f t="shared" si="32"/>
        <v>17000000</v>
      </c>
      <c r="F27" s="9">
        <f t="shared" si="46"/>
        <v>1</v>
      </c>
      <c r="G27" s="9">
        <f t="shared" si="54"/>
        <v>1</v>
      </c>
      <c r="H27" s="18">
        <f t="shared" si="37"/>
        <v>8</v>
      </c>
      <c r="J27" s="30">
        <v>25</v>
      </c>
      <c r="K27" s="18">
        <f t="shared" si="38"/>
        <v>5</v>
      </c>
      <c r="L27" s="19">
        <f t="shared" si="12"/>
        <v>50000000</v>
      </c>
      <c r="M27" s="10">
        <f t="shared" si="2"/>
        <v>7500000</v>
      </c>
      <c r="N27" s="14">
        <f t="shared" si="33"/>
        <v>13000000</v>
      </c>
      <c r="O27" s="9">
        <f t="shared" si="26"/>
        <v>1</v>
      </c>
      <c r="P27" s="9">
        <f t="shared" si="47"/>
        <v>0</v>
      </c>
      <c r="Q27" s="18">
        <f t="shared" si="39"/>
        <v>6</v>
      </c>
      <c r="S27" s="18">
        <v>25</v>
      </c>
      <c r="T27" s="18">
        <f t="shared" si="40"/>
        <v>24</v>
      </c>
      <c r="U27" s="19">
        <f t="shared" si="15"/>
        <v>240000000</v>
      </c>
      <c r="V27" s="10">
        <f t="shared" si="3"/>
        <v>48000000</v>
      </c>
      <c r="W27" s="14">
        <f t="shared" si="34"/>
        <v>50000000</v>
      </c>
      <c r="X27" s="9">
        <f t="shared" si="48"/>
        <v>5</v>
      </c>
      <c r="Y27" s="9">
        <f t="shared" si="49"/>
        <v>1</v>
      </c>
      <c r="Z27" s="18">
        <f t="shared" si="41"/>
        <v>28</v>
      </c>
      <c r="AC27" s="18">
        <v>25</v>
      </c>
      <c r="AD27" s="18">
        <f t="shared" si="42"/>
        <v>0</v>
      </c>
      <c r="AE27" s="37">
        <f t="shared" si="17"/>
        <v>0</v>
      </c>
      <c r="AF27" s="27">
        <f t="shared" si="18"/>
        <v>0</v>
      </c>
      <c r="AG27" s="39">
        <f>AD27*AF27*$AM$4</f>
        <v>0</v>
      </c>
      <c r="AH27" s="27">
        <f t="shared" si="19"/>
        <v>8926258.1760000009</v>
      </c>
      <c r="AI27" s="9">
        <f t="shared" si="50"/>
        <v>0</v>
      </c>
      <c r="AJ27" s="9">
        <f t="shared" si="51"/>
        <v>0</v>
      </c>
      <c r="AK27" s="18">
        <f t="shared" si="0"/>
        <v>0</v>
      </c>
      <c r="AL27" s="20">
        <f t="shared" si="6"/>
        <v>8926258.1760000009</v>
      </c>
      <c r="AM27" s="28"/>
      <c r="AN27" s="28"/>
      <c r="AO27" s="28"/>
      <c r="AP27" s="18">
        <v>25</v>
      </c>
      <c r="AQ27" s="18">
        <f t="shared" si="43"/>
        <v>1</v>
      </c>
      <c r="AR27" s="19">
        <f t="shared" si="21"/>
        <v>10000000</v>
      </c>
      <c r="AS27" s="10">
        <f>10000000*(AY9/$AZ$3)</f>
        <v>1090909.0909090908</v>
      </c>
      <c r="AT27" s="14">
        <f t="shared" si="44"/>
        <v>7272727.2727272715</v>
      </c>
      <c r="AU27" s="9">
        <f t="shared" si="52"/>
        <v>0</v>
      </c>
      <c r="AV27" s="9">
        <f t="shared" si="53"/>
        <v>0</v>
      </c>
      <c r="AW27" s="18">
        <f t="shared" si="45"/>
        <v>1</v>
      </c>
      <c r="AX27" s="4"/>
      <c r="AY27" s="3"/>
      <c r="BA27" s="1"/>
      <c r="BB27" s="1"/>
    </row>
    <row r="28" spans="1:55" x14ac:dyDescent="0.25">
      <c r="A28" s="18">
        <v>26</v>
      </c>
      <c r="B28" s="18">
        <f t="shared" si="36"/>
        <v>8</v>
      </c>
      <c r="C28" s="19">
        <f t="shared" si="9"/>
        <v>80000000</v>
      </c>
      <c r="D28" s="10">
        <f t="shared" si="1"/>
        <v>8000000</v>
      </c>
      <c r="E28" s="14">
        <f t="shared" si="32"/>
        <v>15000000</v>
      </c>
      <c r="F28" s="9">
        <f t="shared" si="46"/>
        <v>1</v>
      </c>
      <c r="G28" s="9">
        <f t="shared" si="54"/>
        <v>1</v>
      </c>
      <c r="H28" s="18">
        <f t="shared" si="37"/>
        <v>8</v>
      </c>
      <c r="J28" s="30">
        <v>26</v>
      </c>
      <c r="K28" s="18">
        <f t="shared" si="38"/>
        <v>6</v>
      </c>
      <c r="L28" s="19">
        <f t="shared" si="12"/>
        <v>60000000</v>
      </c>
      <c r="M28" s="10">
        <f t="shared" si="2"/>
        <v>9000000</v>
      </c>
      <c r="N28" s="14">
        <f t="shared" si="33"/>
        <v>12000000</v>
      </c>
      <c r="O28" s="9">
        <f t="shared" si="26"/>
        <v>1</v>
      </c>
      <c r="P28" s="9">
        <f t="shared" si="47"/>
        <v>0</v>
      </c>
      <c r="Q28" s="18">
        <f t="shared" si="39"/>
        <v>7</v>
      </c>
      <c r="S28" s="18">
        <v>26</v>
      </c>
      <c r="T28" s="18">
        <f t="shared" si="40"/>
        <v>28</v>
      </c>
      <c r="U28" s="19">
        <f t="shared" si="15"/>
        <v>280000000</v>
      </c>
      <c r="V28" s="10">
        <f t="shared" si="3"/>
        <v>56000000</v>
      </c>
      <c r="W28" s="14">
        <f t="shared" si="34"/>
        <v>56000000</v>
      </c>
      <c r="X28" s="9">
        <f t="shared" si="48"/>
        <v>5</v>
      </c>
      <c r="Y28" s="9">
        <f t="shared" si="49"/>
        <v>2</v>
      </c>
      <c r="Z28" s="18">
        <f t="shared" si="41"/>
        <v>31</v>
      </c>
      <c r="AC28" s="18">
        <v>26</v>
      </c>
      <c r="AD28" s="18">
        <f t="shared" si="42"/>
        <v>0</v>
      </c>
      <c r="AE28" s="37">
        <f t="shared" si="17"/>
        <v>0</v>
      </c>
      <c r="AF28" s="27">
        <f t="shared" si="18"/>
        <v>0</v>
      </c>
      <c r="AG28" s="39">
        <f>AD28*AF28*$AM$4</f>
        <v>0</v>
      </c>
      <c r="AH28" s="27">
        <f t="shared" si="19"/>
        <v>8926258.1760000009</v>
      </c>
      <c r="AI28" s="9">
        <f t="shared" si="50"/>
        <v>0</v>
      </c>
      <c r="AJ28" s="9">
        <f t="shared" si="51"/>
        <v>0</v>
      </c>
      <c r="AK28" s="18">
        <f t="shared" si="0"/>
        <v>0</v>
      </c>
      <c r="AL28" s="20">
        <f t="shared" si="6"/>
        <v>8926258.1760000009</v>
      </c>
      <c r="AM28" s="28"/>
      <c r="AN28" s="28"/>
      <c r="AP28" s="18">
        <v>26</v>
      </c>
      <c r="AQ28" s="18">
        <f t="shared" si="43"/>
        <v>1</v>
      </c>
      <c r="AR28" s="19">
        <f t="shared" si="21"/>
        <v>10000000</v>
      </c>
      <c r="AS28" s="10">
        <f>10000000*(AY10/$AZ$3)</f>
        <v>909090.90909090906</v>
      </c>
      <c r="AT28" s="14">
        <f t="shared" si="44"/>
        <v>8181818.1818181807</v>
      </c>
      <c r="AU28" s="9">
        <f t="shared" si="52"/>
        <v>0</v>
      </c>
      <c r="AV28" s="9">
        <f t="shared" si="53"/>
        <v>0</v>
      </c>
      <c r="AW28" s="18">
        <f t="shared" si="45"/>
        <v>1</v>
      </c>
      <c r="AX28" s="4"/>
      <c r="AY28" s="3"/>
    </row>
    <row r="29" spans="1:55" x14ac:dyDescent="0.25">
      <c r="A29" s="18">
        <v>27</v>
      </c>
      <c r="B29" s="18">
        <f t="shared" si="36"/>
        <v>8</v>
      </c>
      <c r="C29" s="19">
        <f t="shared" si="9"/>
        <v>80000000</v>
      </c>
      <c r="D29" s="10">
        <f t="shared" si="1"/>
        <v>8000000</v>
      </c>
      <c r="E29" s="14">
        <f t="shared" si="32"/>
        <v>13000000</v>
      </c>
      <c r="F29" s="9">
        <f t="shared" si="46"/>
        <v>1</v>
      </c>
      <c r="G29" s="9">
        <f t="shared" si="54"/>
        <v>1</v>
      </c>
      <c r="H29" s="18">
        <f t="shared" si="37"/>
        <v>8</v>
      </c>
      <c r="J29" s="30">
        <v>27</v>
      </c>
      <c r="K29" s="18">
        <f t="shared" si="38"/>
        <v>7</v>
      </c>
      <c r="L29" s="19">
        <f t="shared" si="12"/>
        <v>70000000</v>
      </c>
      <c r="M29" s="10">
        <f t="shared" si="2"/>
        <v>10500000</v>
      </c>
      <c r="N29" s="14">
        <f t="shared" si="33"/>
        <v>12500000</v>
      </c>
      <c r="O29" s="9">
        <f t="shared" si="26"/>
        <v>1</v>
      </c>
      <c r="P29" s="9">
        <f t="shared" si="47"/>
        <v>1</v>
      </c>
      <c r="Q29" s="18">
        <f t="shared" si="39"/>
        <v>7</v>
      </c>
      <c r="S29" s="18">
        <v>27</v>
      </c>
      <c r="T29" s="18">
        <f t="shared" si="40"/>
        <v>31</v>
      </c>
      <c r="U29" s="19">
        <f t="shared" si="15"/>
        <v>310000000</v>
      </c>
      <c r="V29" s="10">
        <f t="shared" si="3"/>
        <v>62000000</v>
      </c>
      <c r="W29" s="14">
        <f t="shared" si="34"/>
        <v>68000000</v>
      </c>
      <c r="X29" s="9">
        <f t="shared" si="48"/>
        <v>6</v>
      </c>
      <c r="Y29" s="9">
        <f t="shared" si="49"/>
        <v>1</v>
      </c>
      <c r="Z29" s="18">
        <f t="shared" si="41"/>
        <v>36</v>
      </c>
      <c r="AC29" s="18">
        <v>27</v>
      </c>
      <c r="AD29" s="18">
        <f t="shared" si="42"/>
        <v>0</v>
      </c>
      <c r="AE29" s="37">
        <f t="shared" si="17"/>
        <v>0</v>
      </c>
      <c r="AF29" s="27">
        <f t="shared" si="18"/>
        <v>0</v>
      </c>
      <c r="AG29" s="39">
        <f>AD29*AF29*$AM$4</f>
        <v>0</v>
      </c>
      <c r="AH29" s="27">
        <f t="shared" si="19"/>
        <v>8926258.1760000009</v>
      </c>
      <c r="AI29" s="9">
        <f t="shared" si="50"/>
        <v>0</v>
      </c>
      <c r="AJ29" s="9">
        <f t="shared" si="51"/>
        <v>0</v>
      </c>
      <c r="AK29" s="18">
        <f t="shared" si="0"/>
        <v>0</v>
      </c>
      <c r="AL29" s="20">
        <f t="shared" si="6"/>
        <v>8926258.1760000009</v>
      </c>
      <c r="AM29" s="28"/>
      <c r="AN29" s="28"/>
      <c r="AP29" s="18">
        <v>27</v>
      </c>
      <c r="AQ29" s="18">
        <f t="shared" si="43"/>
        <v>1</v>
      </c>
      <c r="AR29" s="19">
        <f t="shared" si="21"/>
        <v>10000000</v>
      </c>
      <c r="AS29" s="10">
        <f>10000000*(AY11/$AZ$3)</f>
        <v>727272.72727272729</v>
      </c>
      <c r="AT29" s="14">
        <f t="shared" si="44"/>
        <v>8909090.9090909082</v>
      </c>
      <c r="AU29" s="9">
        <f t="shared" si="52"/>
        <v>0</v>
      </c>
      <c r="AV29" s="9">
        <f t="shared" si="53"/>
        <v>0</v>
      </c>
      <c r="AW29" s="18">
        <f t="shared" si="45"/>
        <v>1</v>
      </c>
      <c r="AX29" s="4"/>
      <c r="AY29" s="3"/>
    </row>
    <row r="30" spans="1:55" x14ac:dyDescent="0.25">
      <c r="A30" s="18">
        <v>28</v>
      </c>
      <c r="B30" s="18">
        <f t="shared" si="36"/>
        <v>8</v>
      </c>
      <c r="C30" s="19">
        <f t="shared" si="9"/>
        <v>80000000</v>
      </c>
      <c r="D30" s="10">
        <f t="shared" si="1"/>
        <v>8000000</v>
      </c>
      <c r="E30" s="14">
        <f t="shared" si="32"/>
        <v>11000000</v>
      </c>
      <c r="F30" s="9">
        <f t="shared" si="46"/>
        <v>1</v>
      </c>
      <c r="G30" s="9">
        <f t="shared" si="54"/>
        <v>0</v>
      </c>
      <c r="H30" s="18">
        <f t="shared" si="37"/>
        <v>9</v>
      </c>
      <c r="J30" s="30">
        <v>28</v>
      </c>
      <c r="K30" s="18">
        <f t="shared" si="38"/>
        <v>7</v>
      </c>
      <c r="L30" s="19">
        <f t="shared" si="12"/>
        <v>70000000</v>
      </c>
      <c r="M30" s="10">
        <f t="shared" si="2"/>
        <v>10500000</v>
      </c>
      <c r="N30" s="14">
        <f t="shared" si="33"/>
        <v>13000000</v>
      </c>
      <c r="O30" s="9">
        <f t="shared" si="26"/>
        <v>1</v>
      </c>
      <c r="P30" s="9">
        <f t="shared" si="47"/>
        <v>0</v>
      </c>
      <c r="Q30" s="18">
        <f t="shared" si="39"/>
        <v>8</v>
      </c>
      <c r="S30" s="18">
        <v>28</v>
      </c>
      <c r="T30" s="18">
        <f t="shared" si="40"/>
        <v>36</v>
      </c>
      <c r="U30" s="19">
        <f t="shared" si="15"/>
        <v>360000000</v>
      </c>
      <c r="V30" s="10">
        <f t="shared" si="3"/>
        <v>72000000</v>
      </c>
      <c r="W30" s="14">
        <f t="shared" si="34"/>
        <v>80000000</v>
      </c>
      <c r="X30" s="9">
        <f t="shared" si="48"/>
        <v>8</v>
      </c>
      <c r="Y30" s="9">
        <f t="shared" si="49"/>
        <v>2</v>
      </c>
      <c r="Z30" s="18">
        <f t="shared" si="41"/>
        <v>42</v>
      </c>
      <c r="AC30" s="18">
        <v>28</v>
      </c>
      <c r="AD30" s="18">
        <f t="shared" si="42"/>
        <v>0</v>
      </c>
      <c r="AE30" s="37">
        <f t="shared" si="17"/>
        <v>0</v>
      </c>
      <c r="AF30" s="27">
        <f t="shared" si="18"/>
        <v>0</v>
      </c>
      <c r="AG30" s="39">
        <f>AD30*AF30*$AM$4</f>
        <v>0</v>
      </c>
      <c r="AH30" s="27">
        <f t="shared" si="19"/>
        <v>8926258.1760000009</v>
      </c>
      <c r="AI30" s="9">
        <f t="shared" si="50"/>
        <v>0</v>
      </c>
      <c r="AJ30" s="9">
        <f t="shared" si="51"/>
        <v>0</v>
      </c>
      <c r="AK30" s="18">
        <f t="shared" si="0"/>
        <v>0</v>
      </c>
      <c r="AL30" s="20">
        <f t="shared" si="6"/>
        <v>8926258.1760000009</v>
      </c>
      <c r="AP30" s="18">
        <v>28</v>
      </c>
      <c r="AQ30" s="18">
        <f t="shared" si="43"/>
        <v>1</v>
      </c>
      <c r="AR30" s="19">
        <f t="shared" si="21"/>
        <v>10000000</v>
      </c>
      <c r="AS30" s="10">
        <f>10000000*(AY12/$AZ$3)</f>
        <v>545454.54545454541</v>
      </c>
      <c r="AT30" s="14">
        <f t="shared" si="44"/>
        <v>9454545.4545454532</v>
      </c>
      <c r="AU30" s="9">
        <f t="shared" si="52"/>
        <v>0</v>
      </c>
      <c r="AV30" s="9">
        <f t="shared" si="53"/>
        <v>0</v>
      </c>
      <c r="AW30" s="18">
        <f t="shared" si="45"/>
        <v>1</v>
      </c>
      <c r="AX30" s="4"/>
      <c r="AY30" s="3"/>
    </row>
    <row r="31" spans="1:55" x14ac:dyDescent="0.25">
      <c r="A31" s="18">
        <v>29</v>
      </c>
      <c r="B31" s="18">
        <f t="shared" si="36"/>
        <v>9</v>
      </c>
      <c r="C31" s="19">
        <f t="shared" si="9"/>
        <v>90000000</v>
      </c>
      <c r="D31" s="10">
        <f t="shared" si="1"/>
        <v>9000000</v>
      </c>
      <c r="E31" s="14">
        <f t="shared" si="32"/>
        <v>10000000</v>
      </c>
      <c r="F31" s="9">
        <f t="shared" si="46"/>
        <v>1</v>
      </c>
      <c r="G31" s="9">
        <f t="shared" si="54"/>
        <v>1</v>
      </c>
      <c r="H31" s="18">
        <f>B31+F31-G31</f>
        <v>9</v>
      </c>
      <c r="J31" s="30">
        <v>29</v>
      </c>
      <c r="K31" s="18">
        <f t="shared" si="38"/>
        <v>8</v>
      </c>
      <c r="L31" s="19">
        <f t="shared" si="12"/>
        <v>80000000</v>
      </c>
      <c r="M31" s="10">
        <f t="shared" si="2"/>
        <v>12000000</v>
      </c>
      <c r="N31" s="14">
        <f t="shared" si="33"/>
        <v>15000000</v>
      </c>
      <c r="O31" s="9">
        <f t="shared" si="26"/>
        <v>1</v>
      </c>
      <c r="P31" s="9">
        <f t="shared" si="47"/>
        <v>1</v>
      </c>
      <c r="Q31" s="18">
        <f>K31+O31-P31</f>
        <v>8</v>
      </c>
      <c r="S31" s="18">
        <v>29</v>
      </c>
      <c r="T31" s="18">
        <f t="shared" si="40"/>
        <v>42</v>
      </c>
      <c r="U31" s="19">
        <f t="shared" si="15"/>
        <v>420000000</v>
      </c>
      <c r="V31" s="10">
        <f t="shared" si="3"/>
        <v>84000000</v>
      </c>
      <c r="W31" s="14">
        <f t="shared" si="34"/>
        <v>84000000</v>
      </c>
      <c r="X31" s="9">
        <f t="shared" si="48"/>
        <v>8</v>
      </c>
      <c r="Y31" s="9">
        <f t="shared" si="49"/>
        <v>2</v>
      </c>
      <c r="Z31" s="18">
        <f>T31+X31-Y31</f>
        <v>48</v>
      </c>
      <c r="AC31" s="18">
        <v>29</v>
      </c>
      <c r="AD31" s="18">
        <f t="shared" si="42"/>
        <v>0</v>
      </c>
      <c r="AE31" s="37">
        <f t="shared" si="17"/>
        <v>0</v>
      </c>
      <c r="AF31" s="27">
        <f t="shared" si="18"/>
        <v>0</v>
      </c>
      <c r="AG31" s="39">
        <f>AD31*AF31*$AM$4</f>
        <v>0</v>
      </c>
      <c r="AH31" s="27">
        <f t="shared" si="19"/>
        <v>8926258.1760000009</v>
      </c>
      <c r="AI31" s="9">
        <f t="shared" si="50"/>
        <v>0</v>
      </c>
      <c r="AJ31" s="9">
        <f t="shared" si="51"/>
        <v>0</v>
      </c>
      <c r="AK31" s="18">
        <f t="shared" si="0"/>
        <v>0</v>
      </c>
      <c r="AL31" s="20">
        <f t="shared" si="6"/>
        <v>8926258.1760000009</v>
      </c>
      <c r="AM31" s="32"/>
      <c r="AN31" s="32"/>
      <c r="AP31" s="18">
        <v>29</v>
      </c>
      <c r="AQ31" s="18">
        <f t="shared" si="43"/>
        <v>1</v>
      </c>
      <c r="AR31" s="19">
        <f t="shared" si="21"/>
        <v>10000000</v>
      </c>
      <c r="AS31" s="10">
        <f>10000000*(AY13/$AZ$3)</f>
        <v>363636.36363636365</v>
      </c>
      <c r="AT31" s="14">
        <f t="shared" si="44"/>
        <v>9818181.8181818165</v>
      </c>
      <c r="AU31" s="9">
        <f t="shared" si="52"/>
        <v>0</v>
      </c>
      <c r="AV31" s="9">
        <f t="shared" si="53"/>
        <v>0</v>
      </c>
      <c r="AW31" s="18">
        <f>AQ31+AU31-AV31</f>
        <v>1</v>
      </c>
      <c r="AY31" s="6"/>
    </row>
    <row r="32" spans="1:55" x14ac:dyDescent="0.25">
      <c r="A32" s="18">
        <v>30</v>
      </c>
      <c r="B32" s="18">
        <f t="shared" si="36"/>
        <v>9</v>
      </c>
      <c r="C32" s="19">
        <f t="shared" si="9"/>
        <v>90000000</v>
      </c>
      <c r="D32" s="10">
        <f t="shared" si="1"/>
        <v>9000000</v>
      </c>
      <c r="E32" s="14">
        <f t="shared" si="32"/>
        <v>9000000</v>
      </c>
      <c r="F32" s="9">
        <f>IF((D32+E31-F31*10000000)/10000000&gt;=1,INT((D32+E31-F31*10000000)/10000000),0)</f>
        <v>0</v>
      </c>
      <c r="G32" s="9">
        <f t="shared" si="54"/>
        <v>1</v>
      </c>
      <c r="H32" s="18">
        <f t="shared" ref="H32:H52" si="55">B32+F32-G32</f>
        <v>8</v>
      </c>
      <c r="J32" s="30">
        <v>30</v>
      </c>
      <c r="K32" s="18">
        <f t="shared" si="38"/>
        <v>8</v>
      </c>
      <c r="L32" s="19">
        <f t="shared" si="12"/>
        <v>80000000</v>
      </c>
      <c r="M32" s="10">
        <f t="shared" si="2"/>
        <v>12000000</v>
      </c>
      <c r="N32" s="14">
        <f t="shared" si="33"/>
        <v>17000000</v>
      </c>
      <c r="O32" s="9">
        <f>IF((M32+N31-O31*10000000)/10000000&gt;=1,INT((M32+N31-O31*10000000)/10000000),0)</f>
        <v>1</v>
      </c>
      <c r="P32" s="9">
        <f t="shared" si="47"/>
        <v>0</v>
      </c>
      <c r="Q32" s="18">
        <f t="shared" si="39"/>
        <v>9</v>
      </c>
      <c r="R32" s="6"/>
      <c r="S32" s="18">
        <v>30</v>
      </c>
      <c r="T32" s="18">
        <f t="shared" si="40"/>
        <v>48</v>
      </c>
      <c r="U32" s="19">
        <f t="shared" si="15"/>
        <v>480000000</v>
      </c>
      <c r="V32" s="10">
        <f t="shared" si="3"/>
        <v>96000000</v>
      </c>
      <c r="W32" s="14">
        <f t="shared" si="34"/>
        <v>100000000</v>
      </c>
      <c r="X32" s="9">
        <f>IF((V32+W31-X31*10000000)/10000000&gt;=1,INT((V32+W31-X31*10000000)/10000000),0)</f>
        <v>10</v>
      </c>
      <c r="Y32" s="9">
        <f t="shared" si="49"/>
        <v>2</v>
      </c>
      <c r="Z32" s="18">
        <f t="shared" ref="Z32:Z52" si="56">T32+X32-Y32</f>
        <v>56</v>
      </c>
      <c r="AC32" s="18">
        <v>30</v>
      </c>
      <c r="AD32" s="18">
        <f t="shared" si="42"/>
        <v>0</v>
      </c>
      <c r="AE32" s="37">
        <f t="shared" si="17"/>
        <v>0</v>
      </c>
      <c r="AF32" s="27">
        <f t="shared" si="18"/>
        <v>0</v>
      </c>
      <c r="AG32" s="39">
        <f>AD32*AF32*$AM$4</f>
        <v>0</v>
      </c>
      <c r="AH32" s="27">
        <f t="shared" si="19"/>
        <v>8926258.1760000009</v>
      </c>
      <c r="AI32" s="9">
        <f>IF((AG32+AH31-AI31*10000000)/10000000&gt;=1,INT((AG32+AH31-AI31*10000000)/10000000),0)</f>
        <v>0</v>
      </c>
      <c r="AJ32" s="9">
        <f t="shared" si="51"/>
        <v>0</v>
      </c>
      <c r="AK32" s="18">
        <f t="shared" si="0"/>
        <v>0</v>
      </c>
      <c r="AL32" s="20">
        <f t="shared" si="6"/>
        <v>8926258.1760000009</v>
      </c>
      <c r="AM32" s="32"/>
      <c r="AN32" s="32"/>
      <c r="AP32" s="18">
        <v>30</v>
      </c>
      <c r="AQ32" s="18">
        <f t="shared" si="43"/>
        <v>1</v>
      </c>
      <c r="AR32" s="19">
        <f t="shared" si="21"/>
        <v>10000000</v>
      </c>
      <c r="AS32" s="10">
        <f>10000000*(AY14/$AZ$3)</f>
        <v>181818.18181818182</v>
      </c>
      <c r="AT32" s="14">
        <f t="shared" si="44"/>
        <v>9999999.9999999981</v>
      </c>
      <c r="AU32" s="9">
        <f>IF((AS32+AT31-AU31*10000000)/10000000&gt;=1,INT((AS32+AT31-AU31*10000000)/10000000),0)</f>
        <v>1</v>
      </c>
      <c r="AV32" s="9">
        <f t="shared" si="53"/>
        <v>1</v>
      </c>
      <c r="AW32" s="18">
        <f t="shared" ref="AW32:AW52" si="57">AQ32+AU32-AV32</f>
        <v>1</v>
      </c>
      <c r="AY32" s="6"/>
    </row>
    <row r="33" spans="1:51" x14ac:dyDescent="0.25">
      <c r="A33" s="18">
        <v>31</v>
      </c>
      <c r="B33" s="18">
        <f t="shared" si="36"/>
        <v>8</v>
      </c>
      <c r="C33" s="19">
        <f t="shared" si="9"/>
        <v>80000000</v>
      </c>
      <c r="D33" s="10">
        <f t="shared" si="1"/>
        <v>8000000</v>
      </c>
      <c r="E33" s="14">
        <f t="shared" si="32"/>
        <v>17000000</v>
      </c>
      <c r="F33" s="9">
        <f t="shared" ref="F33:F52" si="58">IF((D33+E32-F32*10000000)/10000000&gt;=1,INT((D33+E32-F32*10000000)/10000000),0)</f>
        <v>1</v>
      </c>
      <c r="G33" s="9">
        <f t="shared" si="54"/>
        <v>1</v>
      </c>
      <c r="H33" s="18">
        <f t="shared" si="55"/>
        <v>8</v>
      </c>
      <c r="J33" s="30">
        <v>31</v>
      </c>
      <c r="K33" s="18">
        <f t="shared" si="38"/>
        <v>9</v>
      </c>
      <c r="L33" s="19">
        <f t="shared" si="12"/>
        <v>90000000</v>
      </c>
      <c r="M33" s="10">
        <f t="shared" si="2"/>
        <v>13500000</v>
      </c>
      <c r="N33" s="14">
        <f t="shared" si="33"/>
        <v>20500000</v>
      </c>
      <c r="O33" s="9">
        <f t="shared" ref="O33:O52" si="59">IF((M33+N32-O32*10000000)/10000000&gt;=1,INT((M33+N32-O32*10000000)/10000000),0)</f>
        <v>2</v>
      </c>
      <c r="P33" s="9">
        <f t="shared" si="47"/>
        <v>1</v>
      </c>
      <c r="Q33" s="18">
        <f t="shared" si="39"/>
        <v>10</v>
      </c>
      <c r="S33" s="18">
        <v>31</v>
      </c>
      <c r="T33" s="18">
        <f t="shared" si="40"/>
        <v>56</v>
      </c>
      <c r="U33" s="19">
        <f t="shared" si="15"/>
        <v>560000000</v>
      </c>
      <c r="V33" s="10">
        <f t="shared" si="3"/>
        <v>112000000</v>
      </c>
      <c r="W33" s="14">
        <f t="shared" si="34"/>
        <v>112000000</v>
      </c>
      <c r="X33" s="9">
        <f t="shared" ref="X33:X52" si="60">IF((V33+W32-X32*10000000)/10000000&gt;=1,INT((V33+W32-X32*10000000)/10000000),0)</f>
        <v>11</v>
      </c>
      <c r="Y33" s="9">
        <f t="shared" si="49"/>
        <v>3</v>
      </c>
      <c r="Z33" s="18">
        <f t="shared" si="56"/>
        <v>64</v>
      </c>
      <c r="AC33" s="18">
        <v>31</v>
      </c>
      <c r="AD33" s="18">
        <f t="shared" si="42"/>
        <v>0</v>
      </c>
      <c r="AE33" s="37">
        <f t="shared" si="17"/>
        <v>0</v>
      </c>
      <c r="AF33" s="27">
        <f t="shared" si="18"/>
        <v>0</v>
      </c>
      <c r="AG33" s="39">
        <f>AD33*AF33*$AM$4</f>
        <v>0</v>
      </c>
      <c r="AH33" s="27">
        <f t="shared" si="19"/>
        <v>8926258.1760000009</v>
      </c>
      <c r="AI33" s="9">
        <f t="shared" ref="AI33:AI52" si="61">IF((AG33+AH32-AI32*10000000)/10000000&gt;=1,INT((AG33+AH32-AI32*10000000)/10000000),0)</f>
        <v>0</v>
      </c>
      <c r="AJ33" s="9">
        <f t="shared" si="51"/>
        <v>0</v>
      </c>
      <c r="AK33" s="18">
        <f t="shared" si="0"/>
        <v>0</v>
      </c>
      <c r="AL33" s="20">
        <f t="shared" si="6"/>
        <v>8926258.1760000009</v>
      </c>
      <c r="AM33" s="32"/>
      <c r="AN33" s="32"/>
      <c r="AP33" s="18">
        <v>31</v>
      </c>
      <c r="AQ33" s="18">
        <f t="shared" si="43"/>
        <v>1</v>
      </c>
      <c r="AR33" s="19">
        <f t="shared" si="21"/>
        <v>10000000</v>
      </c>
      <c r="AS33" s="10">
        <f>10000000*(AY5/$AZ$3)</f>
        <v>1818181.8181818181</v>
      </c>
      <c r="AT33" s="14">
        <f t="shared" si="44"/>
        <v>1818181.8181818165</v>
      </c>
      <c r="AU33" s="9">
        <f t="shared" ref="AU33:AU52" si="62">IF((AS33+AT32-AU32*10000000)/10000000&gt;=1,INT((AS33+AT32-AU32*10000000)/10000000),0)</f>
        <v>0</v>
      </c>
      <c r="AV33" s="9">
        <f t="shared" si="53"/>
        <v>0</v>
      </c>
      <c r="AW33" s="18">
        <f t="shared" si="57"/>
        <v>1</v>
      </c>
      <c r="AY33" s="6"/>
    </row>
    <row r="34" spans="1:51" x14ac:dyDescent="0.25">
      <c r="A34" s="18">
        <v>32</v>
      </c>
      <c r="B34" s="18">
        <f t="shared" si="36"/>
        <v>8</v>
      </c>
      <c r="C34" s="19">
        <f t="shared" si="9"/>
        <v>80000000</v>
      </c>
      <c r="D34" s="10">
        <f t="shared" si="1"/>
        <v>8000000</v>
      </c>
      <c r="E34" s="14">
        <f t="shared" si="32"/>
        <v>15000000</v>
      </c>
      <c r="F34" s="9">
        <f t="shared" si="58"/>
        <v>1</v>
      </c>
      <c r="G34" s="9">
        <f t="shared" si="54"/>
        <v>1</v>
      </c>
      <c r="H34" s="18">
        <f t="shared" si="55"/>
        <v>8</v>
      </c>
      <c r="J34" s="30">
        <v>32</v>
      </c>
      <c r="K34" s="18">
        <f t="shared" si="38"/>
        <v>10</v>
      </c>
      <c r="L34" s="19">
        <f t="shared" si="12"/>
        <v>100000000</v>
      </c>
      <c r="M34" s="10">
        <f t="shared" si="2"/>
        <v>15000000</v>
      </c>
      <c r="N34" s="14">
        <f t="shared" si="33"/>
        <v>15500000</v>
      </c>
      <c r="O34" s="9">
        <f t="shared" si="59"/>
        <v>1</v>
      </c>
      <c r="P34" s="9">
        <f t="shared" si="47"/>
        <v>1</v>
      </c>
      <c r="Q34" s="18">
        <f t="shared" si="39"/>
        <v>10</v>
      </c>
      <c r="S34" s="18">
        <v>32</v>
      </c>
      <c r="T34" s="18">
        <f t="shared" si="40"/>
        <v>64</v>
      </c>
      <c r="U34" s="19">
        <f t="shared" si="15"/>
        <v>640000000</v>
      </c>
      <c r="V34" s="10">
        <f t="shared" si="3"/>
        <v>128000000</v>
      </c>
      <c r="W34" s="14">
        <f t="shared" si="34"/>
        <v>130000000</v>
      </c>
      <c r="X34" s="9">
        <f t="shared" si="60"/>
        <v>13</v>
      </c>
      <c r="Y34" s="9">
        <f t="shared" si="49"/>
        <v>3</v>
      </c>
      <c r="Z34" s="18">
        <f t="shared" si="56"/>
        <v>74</v>
      </c>
      <c r="AC34" s="18">
        <v>32</v>
      </c>
      <c r="AD34" s="18">
        <f t="shared" si="42"/>
        <v>0</v>
      </c>
      <c r="AE34" s="37">
        <f t="shared" si="17"/>
        <v>0</v>
      </c>
      <c r="AF34" s="27">
        <f t="shared" si="18"/>
        <v>0</v>
      </c>
      <c r="AG34" s="39">
        <f>AD34*AF34*$AM$4</f>
        <v>0</v>
      </c>
      <c r="AH34" s="27">
        <f t="shared" si="19"/>
        <v>8926258.1760000009</v>
      </c>
      <c r="AI34" s="9">
        <f t="shared" si="61"/>
        <v>0</v>
      </c>
      <c r="AJ34" s="9">
        <f t="shared" si="51"/>
        <v>0</v>
      </c>
      <c r="AK34" s="18">
        <f t="shared" si="0"/>
        <v>0</v>
      </c>
      <c r="AL34" s="20">
        <f t="shared" si="6"/>
        <v>8926258.1760000009</v>
      </c>
      <c r="AM34" s="32"/>
      <c r="AN34" s="32"/>
      <c r="AP34" s="18">
        <v>32</v>
      </c>
      <c r="AQ34" s="18">
        <f t="shared" si="43"/>
        <v>1</v>
      </c>
      <c r="AR34" s="19">
        <f t="shared" si="21"/>
        <v>10000000</v>
      </c>
      <c r="AS34" s="10">
        <f>10000000*(AY6/$AZ$3)</f>
        <v>1636363.6363636365</v>
      </c>
      <c r="AT34" s="14">
        <f t="shared" si="44"/>
        <v>3454545.4545454532</v>
      </c>
      <c r="AU34" s="9">
        <f t="shared" si="62"/>
        <v>0</v>
      </c>
      <c r="AV34" s="9">
        <f t="shared" si="53"/>
        <v>0</v>
      </c>
      <c r="AW34" s="18">
        <f t="shared" si="57"/>
        <v>1</v>
      </c>
      <c r="AY34" s="6"/>
    </row>
    <row r="35" spans="1:51" x14ac:dyDescent="0.25">
      <c r="A35" s="18">
        <v>33</v>
      </c>
      <c r="B35" s="18">
        <f t="shared" si="36"/>
        <v>8</v>
      </c>
      <c r="C35" s="19">
        <f t="shared" si="9"/>
        <v>80000000</v>
      </c>
      <c r="D35" s="10">
        <f t="shared" si="1"/>
        <v>8000000</v>
      </c>
      <c r="E35" s="14">
        <f t="shared" si="32"/>
        <v>13000000</v>
      </c>
      <c r="F35" s="9">
        <f t="shared" si="58"/>
        <v>1</v>
      </c>
      <c r="G35" s="9">
        <f t="shared" si="54"/>
        <v>1</v>
      </c>
      <c r="H35" s="18">
        <f t="shared" si="55"/>
        <v>8</v>
      </c>
      <c r="J35" s="30">
        <v>33</v>
      </c>
      <c r="K35" s="18">
        <f t="shared" si="38"/>
        <v>10</v>
      </c>
      <c r="L35" s="19">
        <f t="shared" si="12"/>
        <v>100000000</v>
      </c>
      <c r="M35" s="10">
        <f t="shared" si="2"/>
        <v>15000000</v>
      </c>
      <c r="N35" s="14">
        <f t="shared" si="33"/>
        <v>20500000</v>
      </c>
      <c r="O35" s="9">
        <f t="shared" si="59"/>
        <v>2</v>
      </c>
      <c r="P35" s="9">
        <f t="shared" si="47"/>
        <v>0</v>
      </c>
      <c r="Q35" s="18">
        <f t="shared" si="39"/>
        <v>12</v>
      </c>
      <c r="S35" s="18">
        <v>33</v>
      </c>
      <c r="T35" s="18">
        <f t="shared" si="40"/>
        <v>74</v>
      </c>
      <c r="U35" s="19">
        <f t="shared" si="15"/>
        <v>740000000</v>
      </c>
      <c r="V35" s="10">
        <f t="shared" si="3"/>
        <v>148000000</v>
      </c>
      <c r="W35" s="14">
        <f t="shared" si="34"/>
        <v>148000000</v>
      </c>
      <c r="X35" s="9">
        <f t="shared" si="60"/>
        <v>14</v>
      </c>
      <c r="Y35" s="9">
        <f t="shared" si="49"/>
        <v>4</v>
      </c>
      <c r="Z35" s="18">
        <f t="shared" si="56"/>
        <v>84</v>
      </c>
      <c r="AC35" s="18">
        <v>33</v>
      </c>
      <c r="AD35" s="18">
        <f t="shared" si="42"/>
        <v>0</v>
      </c>
      <c r="AE35" s="37">
        <f t="shared" si="17"/>
        <v>0</v>
      </c>
      <c r="AF35" s="27">
        <f t="shared" si="18"/>
        <v>0</v>
      </c>
      <c r="AG35" s="39">
        <f>AD35*AF35*$AM$4</f>
        <v>0</v>
      </c>
      <c r="AH35" s="27">
        <f t="shared" si="19"/>
        <v>8926258.1760000009</v>
      </c>
      <c r="AI35" s="9">
        <f t="shared" si="61"/>
        <v>0</v>
      </c>
      <c r="AJ35" s="9">
        <f t="shared" si="51"/>
        <v>0</v>
      </c>
      <c r="AK35" s="18">
        <f t="shared" ref="AK35:AK52" si="63">AD35+AI35-AJ35</f>
        <v>0</v>
      </c>
      <c r="AL35" s="20">
        <f t="shared" si="6"/>
        <v>8926258.1760000009</v>
      </c>
      <c r="AM35" s="32"/>
      <c r="AN35" s="32"/>
      <c r="AP35" s="18">
        <v>33</v>
      </c>
      <c r="AQ35" s="18">
        <f t="shared" si="43"/>
        <v>1</v>
      </c>
      <c r="AR35" s="19">
        <f t="shared" si="21"/>
        <v>10000000</v>
      </c>
      <c r="AS35" s="10">
        <f>10000000*(AY7/$AZ$3)</f>
        <v>1454545.4545454546</v>
      </c>
      <c r="AT35" s="14">
        <f t="shared" si="44"/>
        <v>4909090.9090909082</v>
      </c>
      <c r="AU35" s="9">
        <f t="shared" si="62"/>
        <v>0</v>
      </c>
      <c r="AV35" s="9">
        <f t="shared" si="53"/>
        <v>0</v>
      </c>
      <c r="AW35" s="18">
        <f t="shared" si="57"/>
        <v>1</v>
      </c>
      <c r="AY35" s="6"/>
    </row>
    <row r="36" spans="1:51" x14ac:dyDescent="0.25">
      <c r="A36" s="18">
        <v>34</v>
      </c>
      <c r="B36" s="18">
        <f t="shared" si="36"/>
        <v>8</v>
      </c>
      <c r="C36" s="19">
        <f t="shared" si="9"/>
        <v>80000000</v>
      </c>
      <c r="D36" s="10">
        <f t="shared" si="1"/>
        <v>8000000</v>
      </c>
      <c r="E36" s="14">
        <f t="shared" si="32"/>
        <v>11000000</v>
      </c>
      <c r="F36" s="9">
        <f t="shared" si="58"/>
        <v>1</v>
      </c>
      <c r="G36" s="9">
        <f t="shared" si="54"/>
        <v>0</v>
      </c>
      <c r="H36" s="18">
        <f t="shared" si="55"/>
        <v>9</v>
      </c>
      <c r="J36" s="30">
        <v>34</v>
      </c>
      <c r="K36" s="18">
        <f t="shared" si="38"/>
        <v>12</v>
      </c>
      <c r="L36" s="19">
        <f t="shared" si="12"/>
        <v>120000000</v>
      </c>
      <c r="M36" s="10">
        <f t="shared" si="2"/>
        <v>18000000</v>
      </c>
      <c r="N36" s="14">
        <f t="shared" si="33"/>
        <v>18500000</v>
      </c>
      <c r="O36" s="9">
        <f t="shared" si="59"/>
        <v>1</v>
      </c>
      <c r="P36" s="9">
        <f t="shared" si="47"/>
        <v>1</v>
      </c>
      <c r="Q36" s="18">
        <f t="shared" si="39"/>
        <v>12</v>
      </c>
      <c r="S36" s="18">
        <v>34</v>
      </c>
      <c r="T36" s="18">
        <f t="shared" si="40"/>
        <v>84</v>
      </c>
      <c r="U36" s="19">
        <f t="shared" si="15"/>
        <v>840000000</v>
      </c>
      <c r="V36" s="10">
        <f t="shared" si="3"/>
        <v>168000000</v>
      </c>
      <c r="W36" s="14">
        <f t="shared" si="34"/>
        <v>176000000</v>
      </c>
      <c r="X36" s="9">
        <f t="shared" si="60"/>
        <v>17</v>
      </c>
      <c r="Y36" s="9">
        <f t="shared" si="49"/>
        <v>4</v>
      </c>
      <c r="Z36" s="18">
        <f t="shared" si="56"/>
        <v>97</v>
      </c>
      <c r="AC36" s="18">
        <v>34</v>
      </c>
      <c r="AD36" s="18">
        <f t="shared" si="42"/>
        <v>0</v>
      </c>
      <c r="AE36" s="37">
        <f t="shared" si="17"/>
        <v>0</v>
      </c>
      <c r="AF36" s="27">
        <f t="shared" si="18"/>
        <v>0</v>
      </c>
      <c r="AG36" s="39">
        <f>AD36*AF36*$AM$4</f>
        <v>0</v>
      </c>
      <c r="AH36" s="27">
        <f t="shared" si="19"/>
        <v>8926258.1760000009</v>
      </c>
      <c r="AI36" s="9">
        <f t="shared" si="61"/>
        <v>0</v>
      </c>
      <c r="AJ36" s="9">
        <f t="shared" si="51"/>
        <v>0</v>
      </c>
      <c r="AK36" s="18">
        <f t="shared" si="63"/>
        <v>0</v>
      </c>
      <c r="AL36" s="20">
        <f t="shared" si="6"/>
        <v>8926258.1760000009</v>
      </c>
      <c r="AM36" s="32"/>
      <c r="AN36" s="32"/>
      <c r="AP36" s="18">
        <v>34</v>
      </c>
      <c r="AQ36" s="18">
        <f t="shared" si="43"/>
        <v>1</v>
      </c>
      <c r="AR36" s="19">
        <f t="shared" si="21"/>
        <v>10000000</v>
      </c>
      <c r="AS36" s="10">
        <f>10000000*(AY8/$AZ$3)</f>
        <v>1272727.2727272727</v>
      </c>
      <c r="AT36" s="14">
        <f t="shared" si="44"/>
        <v>6181818.1818181807</v>
      </c>
      <c r="AU36" s="9">
        <f t="shared" si="62"/>
        <v>0</v>
      </c>
      <c r="AV36" s="9">
        <f t="shared" si="53"/>
        <v>0</v>
      </c>
      <c r="AW36" s="18">
        <f t="shared" si="57"/>
        <v>1</v>
      </c>
      <c r="AY36" s="6"/>
    </row>
    <row r="37" spans="1:51" x14ac:dyDescent="0.25">
      <c r="A37" s="18">
        <v>35</v>
      </c>
      <c r="B37" s="18">
        <f t="shared" si="36"/>
        <v>9</v>
      </c>
      <c r="C37" s="19">
        <f t="shared" si="9"/>
        <v>90000000</v>
      </c>
      <c r="D37" s="10">
        <f t="shared" si="1"/>
        <v>9000000</v>
      </c>
      <c r="E37" s="14">
        <f t="shared" si="32"/>
        <v>10000000</v>
      </c>
      <c r="F37" s="9">
        <f t="shared" si="58"/>
        <v>1</v>
      </c>
      <c r="G37" s="9">
        <f t="shared" si="54"/>
        <v>1</v>
      </c>
      <c r="H37" s="18">
        <f t="shared" si="55"/>
        <v>9</v>
      </c>
      <c r="J37" s="30">
        <v>35</v>
      </c>
      <c r="K37" s="18">
        <f t="shared" si="38"/>
        <v>12</v>
      </c>
      <c r="L37" s="19">
        <f t="shared" si="12"/>
        <v>120000000</v>
      </c>
      <c r="M37" s="10">
        <f t="shared" si="2"/>
        <v>18000000</v>
      </c>
      <c r="N37" s="14">
        <f t="shared" si="33"/>
        <v>26500000</v>
      </c>
      <c r="O37" s="9">
        <f t="shared" si="59"/>
        <v>2</v>
      </c>
      <c r="P37" s="9">
        <f t="shared" si="47"/>
        <v>1</v>
      </c>
      <c r="Q37" s="18">
        <f t="shared" si="39"/>
        <v>13</v>
      </c>
      <c r="S37" s="18">
        <v>35</v>
      </c>
      <c r="T37" s="18">
        <f t="shared" si="40"/>
        <v>97</v>
      </c>
      <c r="U37" s="19">
        <f t="shared" si="15"/>
        <v>970000000</v>
      </c>
      <c r="V37" s="10">
        <f t="shared" si="3"/>
        <v>194000000</v>
      </c>
      <c r="W37" s="14">
        <f t="shared" si="34"/>
        <v>200000000</v>
      </c>
      <c r="X37" s="9">
        <f t="shared" si="60"/>
        <v>20</v>
      </c>
      <c r="Y37" s="9">
        <f t="shared" si="49"/>
        <v>5</v>
      </c>
      <c r="Z37" s="18">
        <f t="shared" si="56"/>
        <v>112</v>
      </c>
      <c r="AC37" s="18">
        <v>35</v>
      </c>
      <c r="AD37" s="18">
        <f t="shared" si="42"/>
        <v>0</v>
      </c>
      <c r="AE37" s="37">
        <f t="shared" si="17"/>
        <v>0</v>
      </c>
      <c r="AF37" s="27">
        <f t="shared" si="18"/>
        <v>0</v>
      </c>
      <c r="AG37" s="39">
        <f>AD37*AF37*$AM$4</f>
        <v>0</v>
      </c>
      <c r="AH37" s="27">
        <f t="shared" si="19"/>
        <v>8926258.1760000009</v>
      </c>
      <c r="AI37" s="9">
        <f t="shared" si="61"/>
        <v>0</v>
      </c>
      <c r="AJ37" s="9">
        <f t="shared" si="51"/>
        <v>0</v>
      </c>
      <c r="AK37" s="18">
        <f t="shared" si="63"/>
        <v>0</v>
      </c>
      <c r="AL37" s="20">
        <f t="shared" si="6"/>
        <v>8926258.1760000009</v>
      </c>
      <c r="AM37" s="32"/>
      <c r="AN37" s="32"/>
      <c r="AP37" s="18">
        <v>35</v>
      </c>
      <c r="AQ37" s="18">
        <f t="shared" si="43"/>
        <v>1</v>
      </c>
      <c r="AR37" s="19">
        <f t="shared" si="21"/>
        <v>10000000</v>
      </c>
      <c r="AS37" s="10">
        <f>10000000*(AY9/$AZ$3)</f>
        <v>1090909.0909090908</v>
      </c>
      <c r="AT37" s="14">
        <f t="shared" si="44"/>
        <v>7272727.2727272715</v>
      </c>
      <c r="AU37" s="9">
        <f t="shared" si="62"/>
        <v>0</v>
      </c>
      <c r="AV37" s="9">
        <f t="shared" si="53"/>
        <v>0</v>
      </c>
      <c r="AW37" s="18">
        <f t="shared" si="57"/>
        <v>1</v>
      </c>
      <c r="AY37" s="6"/>
    </row>
    <row r="38" spans="1:51" x14ac:dyDescent="0.25">
      <c r="A38" s="18">
        <v>36</v>
      </c>
      <c r="B38" s="18">
        <f t="shared" si="36"/>
        <v>9</v>
      </c>
      <c r="C38" s="19">
        <f t="shared" si="9"/>
        <v>90000000</v>
      </c>
      <c r="D38" s="10">
        <f t="shared" si="1"/>
        <v>9000000</v>
      </c>
      <c r="E38" s="14">
        <f t="shared" si="32"/>
        <v>9000000</v>
      </c>
      <c r="F38" s="9">
        <f t="shared" si="58"/>
        <v>0</v>
      </c>
      <c r="G38" s="9">
        <f t="shared" si="54"/>
        <v>1</v>
      </c>
      <c r="H38" s="18">
        <f t="shared" si="55"/>
        <v>8</v>
      </c>
      <c r="J38" s="30">
        <v>36</v>
      </c>
      <c r="K38" s="18">
        <f t="shared" si="38"/>
        <v>13</v>
      </c>
      <c r="L38" s="19">
        <f t="shared" si="12"/>
        <v>130000000</v>
      </c>
      <c r="M38" s="10">
        <f t="shared" si="2"/>
        <v>19500000</v>
      </c>
      <c r="N38" s="14">
        <f t="shared" si="33"/>
        <v>26000000</v>
      </c>
      <c r="O38" s="9">
        <f t="shared" si="59"/>
        <v>2</v>
      </c>
      <c r="P38" s="9">
        <f t="shared" si="47"/>
        <v>1</v>
      </c>
      <c r="Q38" s="18">
        <f t="shared" si="39"/>
        <v>14</v>
      </c>
      <c r="S38" s="18">
        <v>36</v>
      </c>
      <c r="T38" s="18">
        <f t="shared" si="40"/>
        <v>112</v>
      </c>
      <c r="U38" s="19">
        <f t="shared" si="15"/>
        <v>1120000000</v>
      </c>
      <c r="V38" s="10">
        <f t="shared" si="3"/>
        <v>224000000</v>
      </c>
      <c r="W38" s="14">
        <f t="shared" si="34"/>
        <v>224000000</v>
      </c>
      <c r="X38" s="9">
        <f t="shared" si="60"/>
        <v>22</v>
      </c>
      <c r="Y38" s="9">
        <f t="shared" si="49"/>
        <v>5</v>
      </c>
      <c r="Z38" s="18">
        <f t="shared" si="56"/>
        <v>129</v>
      </c>
      <c r="AC38" s="18">
        <v>36</v>
      </c>
      <c r="AD38" s="18">
        <f t="shared" si="42"/>
        <v>0</v>
      </c>
      <c r="AE38" s="37">
        <f t="shared" si="17"/>
        <v>0</v>
      </c>
      <c r="AF38" s="27">
        <f t="shared" si="18"/>
        <v>0</v>
      </c>
      <c r="AG38" s="39">
        <f>AD38*AF38*$AM$4</f>
        <v>0</v>
      </c>
      <c r="AH38" s="27">
        <f t="shared" si="19"/>
        <v>8926258.1760000009</v>
      </c>
      <c r="AI38" s="9">
        <f t="shared" si="61"/>
        <v>0</v>
      </c>
      <c r="AJ38" s="9">
        <f t="shared" si="51"/>
        <v>0</v>
      </c>
      <c r="AK38" s="18">
        <f t="shared" si="63"/>
        <v>0</v>
      </c>
      <c r="AL38" s="20">
        <f t="shared" si="6"/>
        <v>8926258.1760000009</v>
      </c>
      <c r="AM38" s="32"/>
      <c r="AN38" s="32"/>
      <c r="AP38" s="18">
        <v>36</v>
      </c>
      <c r="AQ38" s="18">
        <f t="shared" si="43"/>
        <v>1</v>
      </c>
      <c r="AR38" s="19">
        <f t="shared" si="21"/>
        <v>10000000</v>
      </c>
      <c r="AS38" s="10">
        <f>10000000*(AY10/$AZ$3)</f>
        <v>909090.90909090906</v>
      </c>
      <c r="AT38" s="14">
        <f t="shared" si="44"/>
        <v>8181818.1818181807</v>
      </c>
      <c r="AU38" s="9">
        <f t="shared" si="62"/>
        <v>0</v>
      </c>
      <c r="AV38" s="9">
        <f t="shared" si="53"/>
        <v>0</v>
      </c>
      <c r="AW38" s="18">
        <f t="shared" si="57"/>
        <v>1</v>
      </c>
      <c r="AY38" s="6"/>
    </row>
    <row r="39" spans="1:51" x14ac:dyDescent="0.25">
      <c r="A39" s="18">
        <v>37</v>
      </c>
      <c r="B39" s="18">
        <f t="shared" si="36"/>
        <v>8</v>
      </c>
      <c r="C39" s="19">
        <f t="shared" si="9"/>
        <v>80000000</v>
      </c>
      <c r="D39" s="10">
        <f t="shared" si="1"/>
        <v>8000000</v>
      </c>
      <c r="E39" s="14">
        <f t="shared" si="32"/>
        <v>17000000</v>
      </c>
      <c r="F39" s="9">
        <f t="shared" si="58"/>
        <v>1</v>
      </c>
      <c r="G39" s="9">
        <f t="shared" si="54"/>
        <v>1</v>
      </c>
      <c r="H39" s="18">
        <f t="shared" si="55"/>
        <v>8</v>
      </c>
      <c r="J39" s="30">
        <v>37</v>
      </c>
      <c r="K39" s="18">
        <f t="shared" si="38"/>
        <v>14</v>
      </c>
      <c r="L39" s="19">
        <f t="shared" si="12"/>
        <v>140000000</v>
      </c>
      <c r="M39" s="10">
        <f t="shared" si="2"/>
        <v>21000000</v>
      </c>
      <c r="N39" s="14">
        <f t="shared" si="33"/>
        <v>27000000</v>
      </c>
      <c r="O39" s="9">
        <f t="shared" si="59"/>
        <v>2</v>
      </c>
      <c r="P39" s="9">
        <f t="shared" si="47"/>
        <v>1</v>
      </c>
      <c r="Q39" s="18">
        <f t="shared" si="39"/>
        <v>15</v>
      </c>
      <c r="S39" s="18">
        <v>37</v>
      </c>
      <c r="T39" s="18">
        <f t="shared" si="40"/>
        <v>129</v>
      </c>
      <c r="U39" s="19">
        <f t="shared" si="15"/>
        <v>1290000000</v>
      </c>
      <c r="V39" s="10">
        <f t="shared" si="3"/>
        <v>258000000</v>
      </c>
      <c r="W39" s="14">
        <f t="shared" si="34"/>
        <v>262000000</v>
      </c>
      <c r="X39" s="9">
        <f t="shared" si="60"/>
        <v>26</v>
      </c>
      <c r="Y39" s="9">
        <f t="shared" si="49"/>
        <v>6</v>
      </c>
      <c r="Z39" s="18">
        <f t="shared" si="56"/>
        <v>149</v>
      </c>
      <c r="AC39" s="18">
        <v>37</v>
      </c>
      <c r="AD39" s="18">
        <f t="shared" si="42"/>
        <v>0</v>
      </c>
      <c r="AE39" s="37">
        <f t="shared" si="17"/>
        <v>0</v>
      </c>
      <c r="AF39" s="27">
        <f t="shared" si="18"/>
        <v>0</v>
      </c>
      <c r="AG39" s="39">
        <f>AD39*AF39*$AM$4</f>
        <v>0</v>
      </c>
      <c r="AH39" s="27">
        <f t="shared" si="19"/>
        <v>8926258.1760000009</v>
      </c>
      <c r="AI39" s="9">
        <f t="shared" si="61"/>
        <v>0</v>
      </c>
      <c r="AJ39" s="9">
        <f t="shared" si="51"/>
        <v>0</v>
      </c>
      <c r="AK39" s="18">
        <f t="shared" si="63"/>
        <v>0</v>
      </c>
      <c r="AL39" s="20">
        <f t="shared" si="6"/>
        <v>8926258.1760000009</v>
      </c>
      <c r="AM39" s="32"/>
      <c r="AN39" s="32"/>
      <c r="AP39" s="18">
        <v>37</v>
      </c>
      <c r="AQ39" s="18">
        <f t="shared" si="43"/>
        <v>1</v>
      </c>
      <c r="AR39" s="19">
        <f t="shared" si="21"/>
        <v>10000000</v>
      </c>
      <c r="AS39" s="10">
        <f>10000000*(AY11/$AZ$3)</f>
        <v>727272.72727272729</v>
      </c>
      <c r="AT39" s="14">
        <f t="shared" si="44"/>
        <v>8909090.9090909082</v>
      </c>
      <c r="AU39" s="9">
        <f t="shared" si="62"/>
        <v>0</v>
      </c>
      <c r="AV39" s="9">
        <f t="shared" si="53"/>
        <v>0</v>
      </c>
      <c r="AW39" s="18">
        <f t="shared" si="57"/>
        <v>1</v>
      </c>
      <c r="AY39" s="6"/>
    </row>
    <row r="40" spans="1:51" x14ac:dyDescent="0.25">
      <c r="A40" s="18">
        <v>38</v>
      </c>
      <c r="B40" s="18">
        <f t="shared" si="36"/>
        <v>8</v>
      </c>
      <c r="C40" s="19">
        <f t="shared" si="9"/>
        <v>80000000</v>
      </c>
      <c r="D40" s="10">
        <f t="shared" si="1"/>
        <v>8000000</v>
      </c>
      <c r="E40" s="14">
        <f t="shared" si="32"/>
        <v>15000000</v>
      </c>
      <c r="F40" s="9">
        <f t="shared" si="58"/>
        <v>1</v>
      </c>
      <c r="G40" s="9">
        <f t="shared" si="54"/>
        <v>1</v>
      </c>
      <c r="H40" s="18">
        <f t="shared" si="55"/>
        <v>8</v>
      </c>
      <c r="J40" s="30">
        <v>38</v>
      </c>
      <c r="K40" s="18">
        <f t="shared" si="38"/>
        <v>15</v>
      </c>
      <c r="L40" s="19">
        <f t="shared" si="12"/>
        <v>150000000</v>
      </c>
      <c r="M40" s="10">
        <f t="shared" si="2"/>
        <v>22500000</v>
      </c>
      <c r="N40" s="14">
        <f t="shared" si="33"/>
        <v>29500000</v>
      </c>
      <c r="O40" s="9">
        <f t="shared" si="59"/>
        <v>2</v>
      </c>
      <c r="P40" s="9">
        <f t="shared" si="47"/>
        <v>1</v>
      </c>
      <c r="Q40" s="18">
        <f t="shared" si="39"/>
        <v>16</v>
      </c>
      <c r="S40" s="18">
        <v>38</v>
      </c>
      <c r="T40" s="18">
        <f t="shared" si="40"/>
        <v>149</v>
      </c>
      <c r="U40" s="19">
        <f t="shared" si="15"/>
        <v>1490000000</v>
      </c>
      <c r="V40" s="10">
        <f t="shared" si="3"/>
        <v>298000000</v>
      </c>
      <c r="W40" s="14">
        <f t="shared" si="34"/>
        <v>300000000</v>
      </c>
      <c r="X40" s="9">
        <f t="shared" si="60"/>
        <v>30</v>
      </c>
      <c r="Y40" s="9">
        <f t="shared" si="49"/>
        <v>8</v>
      </c>
      <c r="Z40" s="18">
        <f t="shared" si="56"/>
        <v>171</v>
      </c>
      <c r="AC40" s="18">
        <v>38</v>
      </c>
      <c r="AD40" s="18">
        <f t="shared" si="42"/>
        <v>0</v>
      </c>
      <c r="AE40" s="37">
        <f t="shared" si="17"/>
        <v>0</v>
      </c>
      <c r="AF40" s="27">
        <f t="shared" si="18"/>
        <v>0</v>
      </c>
      <c r="AG40" s="39">
        <f>AD40*AF40*$AM$4</f>
        <v>0</v>
      </c>
      <c r="AH40" s="27">
        <f t="shared" si="19"/>
        <v>8926258.1760000009</v>
      </c>
      <c r="AI40" s="9">
        <f t="shared" si="61"/>
        <v>0</v>
      </c>
      <c r="AJ40" s="9">
        <f t="shared" si="51"/>
        <v>0</v>
      </c>
      <c r="AK40" s="18">
        <f t="shared" si="63"/>
        <v>0</v>
      </c>
      <c r="AL40" s="20">
        <f t="shared" si="6"/>
        <v>8926258.1760000009</v>
      </c>
      <c r="AM40" s="32"/>
      <c r="AN40" s="32"/>
      <c r="AP40" s="18">
        <v>38</v>
      </c>
      <c r="AQ40" s="18">
        <f t="shared" si="43"/>
        <v>1</v>
      </c>
      <c r="AR40" s="19">
        <f t="shared" si="21"/>
        <v>10000000</v>
      </c>
      <c r="AS40" s="10">
        <f>10000000*(AY12/$AZ$3)</f>
        <v>545454.54545454541</v>
      </c>
      <c r="AT40" s="14">
        <f t="shared" si="44"/>
        <v>9454545.4545454532</v>
      </c>
      <c r="AU40" s="9">
        <f t="shared" si="62"/>
        <v>0</v>
      </c>
      <c r="AV40" s="9">
        <f t="shared" si="53"/>
        <v>0</v>
      </c>
      <c r="AW40" s="18">
        <f t="shared" si="57"/>
        <v>1</v>
      </c>
      <c r="AY40" s="6"/>
    </row>
    <row r="41" spans="1:51" x14ac:dyDescent="0.25">
      <c r="A41" s="18">
        <v>39</v>
      </c>
      <c r="B41" s="18">
        <f t="shared" si="36"/>
        <v>8</v>
      </c>
      <c r="C41" s="19">
        <f t="shared" si="9"/>
        <v>80000000</v>
      </c>
      <c r="D41" s="10">
        <f t="shared" si="1"/>
        <v>8000000</v>
      </c>
      <c r="E41" s="14">
        <f t="shared" si="32"/>
        <v>13000000</v>
      </c>
      <c r="F41" s="9">
        <f t="shared" si="58"/>
        <v>1</v>
      </c>
      <c r="G41" s="9">
        <f t="shared" si="54"/>
        <v>1</v>
      </c>
      <c r="H41" s="18">
        <f t="shared" si="55"/>
        <v>8</v>
      </c>
      <c r="J41" s="30">
        <v>39</v>
      </c>
      <c r="K41" s="18">
        <f t="shared" si="38"/>
        <v>16</v>
      </c>
      <c r="L41" s="19">
        <f t="shared" si="12"/>
        <v>160000000</v>
      </c>
      <c r="M41" s="10">
        <f t="shared" si="2"/>
        <v>24000000</v>
      </c>
      <c r="N41" s="14">
        <f t="shared" si="33"/>
        <v>33500000</v>
      </c>
      <c r="O41" s="9">
        <f t="shared" si="59"/>
        <v>3</v>
      </c>
      <c r="P41" s="9">
        <f t="shared" si="47"/>
        <v>1</v>
      </c>
      <c r="Q41" s="18">
        <f t="shared" si="39"/>
        <v>18</v>
      </c>
      <c r="S41" s="18">
        <v>39</v>
      </c>
      <c r="T41" s="18">
        <f t="shared" si="40"/>
        <v>171</v>
      </c>
      <c r="U41" s="19">
        <f t="shared" si="15"/>
        <v>1710000000</v>
      </c>
      <c r="V41" s="10">
        <f t="shared" si="3"/>
        <v>342000000</v>
      </c>
      <c r="W41" s="14">
        <f t="shared" si="34"/>
        <v>342000000</v>
      </c>
      <c r="X41" s="9">
        <f t="shared" si="60"/>
        <v>34</v>
      </c>
      <c r="Y41" s="9">
        <f t="shared" si="49"/>
        <v>8</v>
      </c>
      <c r="Z41" s="18">
        <f t="shared" si="56"/>
        <v>197</v>
      </c>
      <c r="AC41" s="18">
        <v>39</v>
      </c>
      <c r="AD41" s="18">
        <f t="shared" si="42"/>
        <v>0</v>
      </c>
      <c r="AE41" s="37">
        <f t="shared" si="17"/>
        <v>0</v>
      </c>
      <c r="AF41" s="27">
        <f t="shared" si="18"/>
        <v>0</v>
      </c>
      <c r="AG41" s="39">
        <f>AD41*AF41*$AM$4</f>
        <v>0</v>
      </c>
      <c r="AH41" s="27">
        <f t="shared" si="19"/>
        <v>8926258.1760000009</v>
      </c>
      <c r="AI41" s="9">
        <f t="shared" si="61"/>
        <v>0</v>
      </c>
      <c r="AJ41" s="9">
        <f t="shared" si="51"/>
        <v>0</v>
      </c>
      <c r="AK41" s="18">
        <f t="shared" si="63"/>
        <v>0</v>
      </c>
      <c r="AL41" s="20">
        <f t="shared" si="6"/>
        <v>8926258.1760000009</v>
      </c>
      <c r="AM41" s="32"/>
      <c r="AN41" s="32"/>
      <c r="AP41" s="18">
        <v>39</v>
      </c>
      <c r="AQ41" s="18">
        <f t="shared" si="43"/>
        <v>1</v>
      </c>
      <c r="AR41" s="19">
        <f t="shared" si="21"/>
        <v>10000000</v>
      </c>
      <c r="AS41" s="10">
        <f>10000000*(AY13/$AZ$3)</f>
        <v>363636.36363636365</v>
      </c>
      <c r="AT41" s="14">
        <f t="shared" si="44"/>
        <v>9818181.8181818165</v>
      </c>
      <c r="AU41" s="9">
        <f t="shared" si="62"/>
        <v>0</v>
      </c>
      <c r="AV41" s="9">
        <f t="shared" si="53"/>
        <v>0</v>
      </c>
      <c r="AW41" s="18">
        <f t="shared" si="57"/>
        <v>1</v>
      </c>
      <c r="AY41" s="6"/>
    </row>
    <row r="42" spans="1:51" x14ac:dyDescent="0.25">
      <c r="A42" s="18">
        <v>40</v>
      </c>
      <c r="B42" s="18">
        <f t="shared" si="36"/>
        <v>8</v>
      </c>
      <c r="C42" s="19">
        <f t="shared" si="9"/>
        <v>80000000</v>
      </c>
      <c r="D42" s="10">
        <f t="shared" si="1"/>
        <v>8000000</v>
      </c>
      <c r="E42" s="14">
        <f t="shared" si="32"/>
        <v>11000000</v>
      </c>
      <c r="F42" s="9">
        <f t="shared" si="58"/>
        <v>1</v>
      </c>
      <c r="G42" s="9">
        <f t="shared" si="54"/>
        <v>0</v>
      </c>
      <c r="H42" s="18">
        <f t="shared" si="55"/>
        <v>9</v>
      </c>
      <c r="J42" s="30">
        <v>40</v>
      </c>
      <c r="K42" s="18">
        <f t="shared" si="38"/>
        <v>18</v>
      </c>
      <c r="L42" s="19">
        <f t="shared" si="12"/>
        <v>180000000</v>
      </c>
      <c r="M42" s="10">
        <f t="shared" si="2"/>
        <v>27000000</v>
      </c>
      <c r="N42" s="14">
        <f t="shared" si="33"/>
        <v>30500000</v>
      </c>
      <c r="O42" s="9">
        <f t="shared" si="59"/>
        <v>3</v>
      </c>
      <c r="P42" s="9">
        <f t="shared" si="47"/>
        <v>1</v>
      </c>
      <c r="Q42" s="18">
        <f t="shared" si="39"/>
        <v>20</v>
      </c>
      <c r="S42" s="18">
        <v>40</v>
      </c>
      <c r="T42" s="18">
        <f t="shared" si="40"/>
        <v>197</v>
      </c>
      <c r="U42" s="19">
        <f t="shared" si="15"/>
        <v>1970000000</v>
      </c>
      <c r="V42" s="10">
        <f t="shared" si="3"/>
        <v>394000000</v>
      </c>
      <c r="W42" s="14">
        <f t="shared" si="34"/>
        <v>396000000</v>
      </c>
      <c r="X42" s="9">
        <f t="shared" si="60"/>
        <v>39</v>
      </c>
      <c r="Y42" s="9">
        <f t="shared" si="49"/>
        <v>10</v>
      </c>
      <c r="Z42" s="18">
        <f t="shared" si="56"/>
        <v>226</v>
      </c>
      <c r="AC42" s="18">
        <v>40</v>
      </c>
      <c r="AD42" s="18">
        <f t="shared" si="42"/>
        <v>0</v>
      </c>
      <c r="AE42" s="37">
        <f t="shared" si="17"/>
        <v>0</v>
      </c>
      <c r="AF42" s="27">
        <f t="shared" si="18"/>
        <v>0</v>
      </c>
      <c r="AG42" s="39">
        <f>AD42*AF42*$AM$4</f>
        <v>0</v>
      </c>
      <c r="AH42" s="27">
        <f t="shared" si="19"/>
        <v>8926258.1760000009</v>
      </c>
      <c r="AI42" s="9">
        <f t="shared" si="61"/>
        <v>0</v>
      </c>
      <c r="AJ42" s="9">
        <f t="shared" si="51"/>
        <v>0</v>
      </c>
      <c r="AK42" s="18">
        <f t="shared" si="63"/>
        <v>0</v>
      </c>
      <c r="AL42" s="20">
        <f t="shared" si="6"/>
        <v>8926258.1760000009</v>
      </c>
      <c r="AM42" s="32"/>
      <c r="AN42" s="32"/>
      <c r="AP42" s="18">
        <v>40</v>
      </c>
      <c r="AQ42" s="18">
        <f t="shared" si="43"/>
        <v>1</v>
      </c>
      <c r="AR42" s="19">
        <f t="shared" si="21"/>
        <v>10000000</v>
      </c>
      <c r="AS42" s="10">
        <f>10000000*(AY14/$AZ$3)</f>
        <v>181818.18181818182</v>
      </c>
      <c r="AT42" s="14">
        <f t="shared" si="44"/>
        <v>9999999.9999999981</v>
      </c>
      <c r="AU42" s="9">
        <f t="shared" si="62"/>
        <v>1</v>
      </c>
      <c r="AV42" s="9">
        <f t="shared" si="53"/>
        <v>1</v>
      </c>
      <c r="AW42" s="18">
        <f t="shared" si="57"/>
        <v>1</v>
      </c>
      <c r="AY42" s="6"/>
    </row>
    <row r="43" spans="1:51" x14ac:dyDescent="0.25">
      <c r="A43" s="18">
        <v>41</v>
      </c>
      <c r="B43" s="18">
        <f t="shared" si="36"/>
        <v>9</v>
      </c>
      <c r="C43" s="19">
        <f t="shared" si="9"/>
        <v>90000000</v>
      </c>
      <c r="D43" s="10">
        <f t="shared" si="1"/>
        <v>9000000</v>
      </c>
      <c r="E43" s="14">
        <f t="shared" si="32"/>
        <v>10000000</v>
      </c>
      <c r="F43" s="9">
        <f t="shared" si="58"/>
        <v>1</v>
      </c>
      <c r="G43" s="9">
        <f t="shared" si="54"/>
        <v>1</v>
      </c>
      <c r="H43" s="18">
        <f t="shared" si="55"/>
        <v>9</v>
      </c>
      <c r="J43" s="30">
        <v>41</v>
      </c>
      <c r="K43" s="18">
        <f t="shared" si="38"/>
        <v>20</v>
      </c>
      <c r="L43" s="19">
        <f t="shared" si="12"/>
        <v>200000000</v>
      </c>
      <c r="M43" s="10">
        <f t="shared" si="2"/>
        <v>30000000</v>
      </c>
      <c r="N43" s="14">
        <f t="shared" si="33"/>
        <v>30500000</v>
      </c>
      <c r="O43" s="9">
        <f t="shared" si="59"/>
        <v>3</v>
      </c>
      <c r="P43" s="9">
        <f t="shared" si="47"/>
        <v>2</v>
      </c>
      <c r="Q43" s="18">
        <f t="shared" si="39"/>
        <v>21</v>
      </c>
      <c r="S43" s="18">
        <v>41</v>
      </c>
      <c r="T43" s="18">
        <f t="shared" si="40"/>
        <v>226</v>
      </c>
      <c r="U43" s="19">
        <f t="shared" si="15"/>
        <v>2260000000</v>
      </c>
      <c r="V43" s="10">
        <f t="shared" si="3"/>
        <v>452000000</v>
      </c>
      <c r="W43" s="14">
        <f t="shared" si="34"/>
        <v>458000000</v>
      </c>
      <c r="X43" s="9">
        <f t="shared" si="60"/>
        <v>45</v>
      </c>
      <c r="Y43" s="9">
        <f t="shared" si="49"/>
        <v>11</v>
      </c>
      <c r="Z43" s="18">
        <f t="shared" si="56"/>
        <v>260</v>
      </c>
      <c r="AC43" s="18">
        <v>41</v>
      </c>
      <c r="AD43" s="18">
        <f t="shared" si="42"/>
        <v>0</v>
      </c>
      <c r="AE43" s="37">
        <f t="shared" si="17"/>
        <v>0</v>
      </c>
      <c r="AF43" s="27">
        <f t="shared" si="18"/>
        <v>0</v>
      </c>
      <c r="AG43" s="39">
        <f>AD43*AF43*$AM$4</f>
        <v>0</v>
      </c>
      <c r="AH43" s="27">
        <f t="shared" si="19"/>
        <v>8926258.1760000009</v>
      </c>
      <c r="AI43" s="9">
        <f t="shared" si="61"/>
        <v>0</v>
      </c>
      <c r="AJ43" s="9">
        <f t="shared" si="51"/>
        <v>0</v>
      </c>
      <c r="AK43" s="18">
        <f t="shared" si="63"/>
        <v>0</v>
      </c>
      <c r="AL43" s="20">
        <f t="shared" si="6"/>
        <v>8926258.1760000009</v>
      </c>
      <c r="AP43" s="18">
        <v>41</v>
      </c>
      <c r="AQ43" s="18">
        <f t="shared" si="43"/>
        <v>1</v>
      </c>
      <c r="AR43" s="19">
        <f t="shared" si="21"/>
        <v>10000000</v>
      </c>
      <c r="AS43" s="10">
        <f>10000000*(AY5/$AZ$3)</f>
        <v>1818181.8181818181</v>
      </c>
      <c r="AT43" s="14">
        <f t="shared" si="44"/>
        <v>1818181.8181818165</v>
      </c>
      <c r="AU43" s="9">
        <f t="shared" si="62"/>
        <v>0</v>
      </c>
      <c r="AV43" s="9">
        <f t="shared" si="53"/>
        <v>0</v>
      </c>
      <c r="AW43" s="18">
        <f t="shared" si="57"/>
        <v>1</v>
      </c>
      <c r="AY43" s="6"/>
    </row>
    <row r="44" spans="1:51" x14ac:dyDescent="0.25">
      <c r="A44" s="18">
        <v>42</v>
      </c>
      <c r="B44" s="18">
        <f t="shared" si="36"/>
        <v>9</v>
      </c>
      <c r="C44" s="19">
        <f t="shared" si="9"/>
        <v>90000000</v>
      </c>
      <c r="D44" s="10">
        <f t="shared" si="1"/>
        <v>9000000</v>
      </c>
      <c r="E44" s="14">
        <f t="shared" si="32"/>
        <v>9000000</v>
      </c>
      <c r="F44" s="9">
        <f t="shared" si="58"/>
        <v>0</v>
      </c>
      <c r="G44" s="9">
        <f t="shared" si="54"/>
        <v>1</v>
      </c>
      <c r="H44" s="18">
        <f t="shared" si="55"/>
        <v>8</v>
      </c>
      <c r="J44" s="30">
        <v>42</v>
      </c>
      <c r="K44" s="18">
        <f t="shared" si="38"/>
        <v>21</v>
      </c>
      <c r="L44" s="19">
        <f t="shared" si="12"/>
        <v>210000000</v>
      </c>
      <c r="M44" s="10">
        <f t="shared" si="2"/>
        <v>31500000</v>
      </c>
      <c r="N44" s="14">
        <f t="shared" si="33"/>
        <v>32000000</v>
      </c>
      <c r="O44" s="9">
        <f t="shared" si="59"/>
        <v>3</v>
      </c>
      <c r="P44" s="9">
        <f t="shared" si="47"/>
        <v>1</v>
      </c>
      <c r="Q44" s="18">
        <f t="shared" si="39"/>
        <v>23</v>
      </c>
      <c r="S44" s="18">
        <v>42</v>
      </c>
      <c r="T44" s="18">
        <f t="shared" si="40"/>
        <v>260</v>
      </c>
      <c r="U44" s="19">
        <f t="shared" si="15"/>
        <v>2600000000</v>
      </c>
      <c r="V44" s="10">
        <f t="shared" si="3"/>
        <v>520000000</v>
      </c>
      <c r="W44" s="14">
        <f t="shared" si="34"/>
        <v>528000000</v>
      </c>
      <c r="X44" s="9">
        <f t="shared" si="60"/>
        <v>52</v>
      </c>
      <c r="Y44" s="9">
        <f t="shared" si="49"/>
        <v>13</v>
      </c>
      <c r="Z44" s="18">
        <f t="shared" si="56"/>
        <v>299</v>
      </c>
      <c r="AC44" s="18">
        <v>42</v>
      </c>
      <c r="AD44" s="18">
        <f t="shared" si="42"/>
        <v>0</v>
      </c>
      <c r="AE44" s="37">
        <f t="shared" si="17"/>
        <v>0</v>
      </c>
      <c r="AF44" s="27">
        <f t="shared" si="18"/>
        <v>0</v>
      </c>
      <c r="AG44" s="39">
        <f>AD44*AF44*$AM$4</f>
        <v>0</v>
      </c>
      <c r="AH44" s="27">
        <f t="shared" si="19"/>
        <v>8926258.1760000009</v>
      </c>
      <c r="AI44" s="9">
        <f t="shared" si="61"/>
        <v>0</v>
      </c>
      <c r="AJ44" s="9">
        <f t="shared" si="51"/>
        <v>0</v>
      </c>
      <c r="AK44" s="18">
        <f t="shared" si="63"/>
        <v>0</v>
      </c>
      <c r="AL44" s="20">
        <f t="shared" si="6"/>
        <v>8926258.1760000009</v>
      </c>
      <c r="AP44" s="18">
        <v>42</v>
      </c>
      <c r="AQ44" s="18">
        <f t="shared" si="43"/>
        <v>1</v>
      </c>
      <c r="AR44" s="19">
        <f t="shared" si="21"/>
        <v>10000000</v>
      </c>
      <c r="AS44" s="10">
        <f>10000000*(AY6/$AZ$3)</f>
        <v>1636363.6363636365</v>
      </c>
      <c r="AT44" s="14">
        <f t="shared" si="44"/>
        <v>3454545.4545454532</v>
      </c>
      <c r="AU44" s="9">
        <f t="shared" si="62"/>
        <v>0</v>
      </c>
      <c r="AV44" s="9">
        <f t="shared" si="53"/>
        <v>0</v>
      </c>
      <c r="AW44" s="18">
        <f t="shared" si="57"/>
        <v>1</v>
      </c>
      <c r="AY44" s="6"/>
    </row>
    <row r="45" spans="1:51" x14ac:dyDescent="0.25">
      <c r="A45" s="18">
        <v>43</v>
      </c>
      <c r="B45" s="18">
        <f t="shared" si="36"/>
        <v>8</v>
      </c>
      <c r="C45" s="19">
        <f t="shared" si="9"/>
        <v>80000000</v>
      </c>
      <c r="D45" s="10">
        <f t="shared" si="1"/>
        <v>8000000</v>
      </c>
      <c r="E45" s="14">
        <f t="shared" si="32"/>
        <v>17000000</v>
      </c>
      <c r="F45" s="9">
        <f t="shared" si="58"/>
        <v>1</v>
      </c>
      <c r="G45" s="9">
        <f t="shared" si="54"/>
        <v>1</v>
      </c>
      <c r="H45" s="18">
        <f t="shared" si="55"/>
        <v>8</v>
      </c>
      <c r="J45" s="30">
        <v>43</v>
      </c>
      <c r="K45" s="18">
        <f t="shared" si="38"/>
        <v>23</v>
      </c>
      <c r="L45" s="19">
        <f t="shared" si="12"/>
        <v>230000000</v>
      </c>
      <c r="M45" s="10">
        <f t="shared" si="2"/>
        <v>34500000</v>
      </c>
      <c r="N45" s="14">
        <f t="shared" si="33"/>
        <v>36500000</v>
      </c>
      <c r="O45" s="9">
        <f t="shared" si="59"/>
        <v>3</v>
      </c>
      <c r="P45" s="9">
        <f t="shared" si="47"/>
        <v>2</v>
      </c>
      <c r="Q45" s="18">
        <f t="shared" si="39"/>
        <v>24</v>
      </c>
      <c r="S45" s="18">
        <v>43</v>
      </c>
      <c r="T45" s="18">
        <f t="shared" si="40"/>
        <v>299</v>
      </c>
      <c r="U45" s="19">
        <f t="shared" si="15"/>
        <v>2990000000</v>
      </c>
      <c r="V45" s="10">
        <f t="shared" si="3"/>
        <v>598000000</v>
      </c>
      <c r="W45" s="14">
        <f t="shared" si="34"/>
        <v>606000000</v>
      </c>
      <c r="X45" s="9">
        <f t="shared" si="60"/>
        <v>60</v>
      </c>
      <c r="Y45" s="9">
        <f t="shared" si="49"/>
        <v>14</v>
      </c>
      <c r="Z45" s="18">
        <f t="shared" si="56"/>
        <v>345</v>
      </c>
      <c r="AC45" s="18">
        <v>43</v>
      </c>
      <c r="AD45" s="18">
        <f t="shared" si="42"/>
        <v>0</v>
      </c>
      <c r="AE45" s="37">
        <f t="shared" si="17"/>
        <v>0</v>
      </c>
      <c r="AF45" s="27">
        <f t="shared" si="18"/>
        <v>0</v>
      </c>
      <c r="AG45" s="39">
        <f>AD45*AF45*$AM$4</f>
        <v>0</v>
      </c>
      <c r="AH45" s="27">
        <f t="shared" si="19"/>
        <v>8926258.1760000009</v>
      </c>
      <c r="AI45" s="9">
        <f t="shared" si="61"/>
        <v>0</v>
      </c>
      <c r="AJ45" s="9">
        <f t="shared" si="51"/>
        <v>0</v>
      </c>
      <c r="AK45" s="18">
        <f t="shared" si="63"/>
        <v>0</v>
      </c>
      <c r="AL45" s="20">
        <f t="shared" si="6"/>
        <v>8926258.1760000009</v>
      </c>
      <c r="AP45" s="18">
        <v>43</v>
      </c>
      <c r="AQ45" s="18">
        <f t="shared" si="43"/>
        <v>1</v>
      </c>
      <c r="AR45" s="19">
        <f t="shared" si="21"/>
        <v>10000000</v>
      </c>
      <c r="AS45" s="10">
        <f>10000000*(AY7/$AZ$3)</f>
        <v>1454545.4545454546</v>
      </c>
      <c r="AT45" s="14">
        <f t="shared" si="44"/>
        <v>4909090.9090909082</v>
      </c>
      <c r="AU45" s="9">
        <f t="shared" si="62"/>
        <v>0</v>
      </c>
      <c r="AV45" s="9">
        <f t="shared" si="53"/>
        <v>0</v>
      </c>
      <c r="AW45" s="18">
        <f t="shared" si="57"/>
        <v>1</v>
      </c>
      <c r="AY45" s="6"/>
    </row>
    <row r="46" spans="1:51" x14ac:dyDescent="0.25">
      <c r="A46" s="18">
        <v>44</v>
      </c>
      <c r="B46" s="18">
        <f t="shared" si="36"/>
        <v>8</v>
      </c>
      <c r="C46" s="19">
        <f t="shared" si="9"/>
        <v>80000000</v>
      </c>
      <c r="D46" s="10">
        <f t="shared" si="1"/>
        <v>8000000</v>
      </c>
      <c r="E46" s="14">
        <f t="shared" si="32"/>
        <v>15000000</v>
      </c>
      <c r="F46" s="9">
        <f t="shared" si="58"/>
        <v>1</v>
      </c>
      <c r="G46" s="9">
        <f t="shared" si="54"/>
        <v>1</v>
      </c>
      <c r="H46" s="18">
        <f t="shared" si="55"/>
        <v>8</v>
      </c>
      <c r="J46" s="30">
        <v>44</v>
      </c>
      <c r="K46" s="18">
        <f t="shared" si="38"/>
        <v>24</v>
      </c>
      <c r="L46" s="19">
        <f t="shared" si="12"/>
        <v>240000000</v>
      </c>
      <c r="M46" s="10">
        <f t="shared" si="2"/>
        <v>36000000</v>
      </c>
      <c r="N46" s="14">
        <f t="shared" si="33"/>
        <v>42500000</v>
      </c>
      <c r="O46" s="9">
        <f t="shared" si="59"/>
        <v>4</v>
      </c>
      <c r="P46" s="9">
        <f t="shared" si="47"/>
        <v>1</v>
      </c>
      <c r="Q46" s="18">
        <f t="shared" si="39"/>
        <v>27</v>
      </c>
      <c r="S46" s="18">
        <v>44</v>
      </c>
      <c r="T46" s="18">
        <f t="shared" si="40"/>
        <v>345</v>
      </c>
      <c r="U46" s="19">
        <f t="shared" si="15"/>
        <v>3450000000</v>
      </c>
      <c r="V46" s="10">
        <f t="shared" si="3"/>
        <v>690000000</v>
      </c>
      <c r="W46" s="14">
        <f t="shared" si="34"/>
        <v>696000000</v>
      </c>
      <c r="X46" s="9">
        <f t="shared" si="60"/>
        <v>69</v>
      </c>
      <c r="Y46" s="9">
        <f t="shared" si="49"/>
        <v>17</v>
      </c>
      <c r="Z46" s="18">
        <f t="shared" si="56"/>
        <v>397</v>
      </c>
      <c r="AC46" s="18">
        <v>44</v>
      </c>
      <c r="AD46" s="18">
        <f t="shared" si="42"/>
        <v>0</v>
      </c>
      <c r="AE46" s="37">
        <f t="shared" si="17"/>
        <v>0</v>
      </c>
      <c r="AF46" s="27">
        <f t="shared" si="18"/>
        <v>0</v>
      </c>
      <c r="AG46" s="39">
        <f>AD46*AF46*$AM$4</f>
        <v>0</v>
      </c>
      <c r="AH46" s="27">
        <f t="shared" si="19"/>
        <v>8926258.1760000009</v>
      </c>
      <c r="AI46" s="9">
        <f t="shared" si="61"/>
        <v>0</v>
      </c>
      <c r="AJ46" s="9">
        <f t="shared" si="51"/>
        <v>0</v>
      </c>
      <c r="AK46" s="18">
        <f t="shared" si="63"/>
        <v>0</v>
      </c>
      <c r="AL46" s="20">
        <f t="shared" si="6"/>
        <v>8926258.1760000009</v>
      </c>
      <c r="AP46" s="18">
        <v>44</v>
      </c>
      <c r="AQ46" s="18">
        <f t="shared" si="43"/>
        <v>1</v>
      </c>
      <c r="AR46" s="19">
        <f t="shared" si="21"/>
        <v>10000000</v>
      </c>
      <c r="AS46" s="10">
        <f>10000000*(AY8/$AZ$3)</f>
        <v>1272727.2727272727</v>
      </c>
      <c r="AT46" s="14">
        <f t="shared" si="44"/>
        <v>6181818.1818181807</v>
      </c>
      <c r="AU46" s="9">
        <f t="shared" si="62"/>
        <v>0</v>
      </c>
      <c r="AV46" s="9">
        <f t="shared" si="53"/>
        <v>0</v>
      </c>
      <c r="AW46" s="18">
        <f t="shared" si="57"/>
        <v>1</v>
      </c>
      <c r="AY46" s="6"/>
    </row>
    <row r="47" spans="1:51" x14ac:dyDescent="0.25">
      <c r="A47" s="18">
        <v>45</v>
      </c>
      <c r="B47" s="18">
        <f t="shared" si="36"/>
        <v>8</v>
      </c>
      <c r="C47" s="19">
        <f t="shared" si="9"/>
        <v>80000000</v>
      </c>
      <c r="D47" s="10">
        <f t="shared" si="1"/>
        <v>8000000</v>
      </c>
      <c r="E47" s="14">
        <f t="shared" si="32"/>
        <v>13000000</v>
      </c>
      <c r="F47" s="9">
        <f t="shared" si="58"/>
        <v>1</v>
      </c>
      <c r="G47" s="9">
        <f t="shared" si="54"/>
        <v>1</v>
      </c>
      <c r="H47" s="18">
        <f t="shared" si="55"/>
        <v>8</v>
      </c>
      <c r="J47" s="30">
        <v>45</v>
      </c>
      <c r="K47" s="18">
        <f t="shared" si="38"/>
        <v>27</v>
      </c>
      <c r="L47" s="19">
        <f t="shared" si="12"/>
        <v>270000000</v>
      </c>
      <c r="M47" s="10">
        <f t="shared" si="2"/>
        <v>40500000</v>
      </c>
      <c r="N47" s="14">
        <f t="shared" si="33"/>
        <v>43000000</v>
      </c>
      <c r="O47" s="9">
        <f t="shared" si="59"/>
        <v>4</v>
      </c>
      <c r="P47" s="9">
        <f t="shared" si="47"/>
        <v>2</v>
      </c>
      <c r="Q47" s="18">
        <f t="shared" si="39"/>
        <v>29</v>
      </c>
      <c r="S47" s="18">
        <v>45</v>
      </c>
      <c r="T47" s="18">
        <f t="shared" si="40"/>
        <v>397</v>
      </c>
      <c r="U47" s="19">
        <f t="shared" si="15"/>
        <v>3970000000</v>
      </c>
      <c r="V47" s="10">
        <f t="shared" si="3"/>
        <v>794000000</v>
      </c>
      <c r="W47" s="14">
        <f t="shared" si="34"/>
        <v>800000000</v>
      </c>
      <c r="X47" s="9">
        <f t="shared" si="60"/>
        <v>80</v>
      </c>
      <c r="Y47" s="9">
        <f t="shared" si="49"/>
        <v>20</v>
      </c>
      <c r="Z47" s="18">
        <f t="shared" si="56"/>
        <v>457</v>
      </c>
      <c r="AC47" s="18">
        <v>45</v>
      </c>
      <c r="AD47" s="18">
        <f t="shared" si="42"/>
        <v>0</v>
      </c>
      <c r="AE47" s="37">
        <f t="shared" si="17"/>
        <v>0</v>
      </c>
      <c r="AF47" s="27">
        <f t="shared" si="18"/>
        <v>0</v>
      </c>
      <c r="AG47" s="39">
        <f>AD47*AF47*$AM$4</f>
        <v>0</v>
      </c>
      <c r="AH47" s="27">
        <f t="shared" si="19"/>
        <v>8926258.1760000009</v>
      </c>
      <c r="AI47" s="9">
        <f t="shared" si="61"/>
        <v>0</v>
      </c>
      <c r="AJ47" s="9">
        <f t="shared" si="51"/>
        <v>0</v>
      </c>
      <c r="AK47" s="18">
        <f t="shared" si="63"/>
        <v>0</v>
      </c>
      <c r="AL47" s="20">
        <f t="shared" si="6"/>
        <v>8926258.1760000009</v>
      </c>
      <c r="AP47" s="18">
        <v>45</v>
      </c>
      <c r="AQ47" s="18">
        <f t="shared" si="43"/>
        <v>1</v>
      </c>
      <c r="AR47" s="19">
        <f t="shared" si="21"/>
        <v>10000000</v>
      </c>
      <c r="AS47" s="10">
        <f>10000000*(AY9/$AZ$3)</f>
        <v>1090909.0909090908</v>
      </c>
      <c r="AT47" s="14">
        <f t="shared" si="44"/>
        <v>7272727.2727272715</v>
      </c>
      <c r="AU47" s="9">
        <f t="shared" si="62"/>
        <v>0</v>
      </c>
      <c r="AV47" s="9">
        <f t="shared" si="53"/>
        <v>0</v>
      </c>
      <c r="AW47" s="18">
        <f t="shared" si="57"/>
        <v>1</v>
      </c>
      <c r="AY47" s="6"/>
    </row>
    <row r="48" spans="1:51" x14ac:dyDescent="0.25">
      <c r="A48" s="18">
        <v>46</v>
      </c>
      <c r="B48" s="18">
        <f t="shared" si="36"/>
        <v>8</v>
      </c>
      <c r="C48" s="19">
        <f t="shared" si="9"/>
        <v>80000000</v>
      </c>
      <c r="D48" s="10">
        <f t="shared" si="1"/>
        <v>8000000</v>
      </c>
      <c r="E48" s="14">
        <f t="shared" si="32"/>
        <v>11000000</v>
      </c>
      <c r="F48" s="9">
        <f t="shared" si="58"/>
        <v>1</v>
      </c>
      <c r="G48" s="9">
        <f t="shared" si="54"/>
        <v>0</v>
      </c>
      <c r="H48" s="18">
        <f t="shared" si="55"/>
        <v>9</v>
      </c>
      <c r="J48" s="30">
        <v>46</v>
      </c>
      <c r="K48" s="18">
        <f t="shared" si="38"/>
        <v>29</v>
      </c>
      <c r="L48" s="19">
        <f t="shared" si="12"/>
        <v>290000000</v>
      </c>
      <c r="M48" s="10">
        <f t="shared" si="2"/>
        <v>43500000</v>
      </c>
      <c r="N48" s="14">
        <f t="shared" si="33"/>
        <v>46500000</v>
      </c>
      <c r="O48" s="9">
        <f t="shared" si="59"/>
        <v>4</v>
      </c>
      <c r="P48" s="9">
        <f t="shared" si="47"/>
        <v>2</v>
      </c>
      <c r="Q48" s="18">
        <f t="shared" si="39"/>
        <v>31</v>
      </c>
      <c r="S48" s="18">
        <v>46</v>
      </c>
      <c r="T48" s="18">
        <f t="shared" si="40"/>
        <v>457</v>
      </c>
      <c r="U48" s="19">
        <f t="shared" si="15"/>
        <v>4570000000</v>
      </c>
      <c r="V48" s="10">
        <f t="shared" si="3"/>
        <v>914000000</v>
      </c>
      <c r="W48" s="14">
        <f t="shared" si="34"/>
        <v>914000000</v>
      </c>
      <c r="X48" s="9">
        <f t="shared" si="60"/>
        <v>91</v>
      </c>
      <c r="Y48" s="9">
        <f t="shared" si="49"/>
        <v>22</v>
      </c>
      <c r="Z48" s="18">
        <f t="shared" si="56"/>
        <v>526</v>
      </c>
      <c r="AC48" s="18">
        <v>46</v>
      </c>
      <c r="AD48" s="18">
        <f t="shared" si="42"/>
        <v>0</v>
      </c>
      <c r="AE48" s="37">
        <f t="shared" si="17"/>
        <v>0</v>
      </c>
      <c r="AF48" s="27">
        <f t="shared" si="18"/>
        <v>0</v>
      </c>
      <c r="AG48" s="39">
        <f>AD48*AF48*$AM$4</f>
        <v>0</v>
      </c>
      <c r="AH48" s="27">
        <f t="shared" si="19"/>
        <v>8926258.1760000009</v>
      </c>
      <c r="AI48" s="9">
        <f t="shared" si="61"/>
        <v>0</v>
      </c>
      <c r="AJ48" s="9">
        <f t="shared" si="51"/>
        <v>0</v>
      </c>
      <c r="AK48" s="18">
        <f t="shared" si="63"/>
        <v>0</v>
      </c>
      <c r="AL48" s="20">
        <f t="shared" si="6"/>
        <v>8926258.1760000009</v>
      </c>
      <c r="AP48" s="18">
        <v>46</v>
      </c>
      <c r="AQ48" s="18">
        <f t="shared" si="43"/>
        <v>1</v>
      </c>
      <c r="AR48" s="19">
        <f t="shared" si="21"/>
        <v>10000000</v>
      </c>
      <c r="AS48" s="10">
        <f>10000000*(AY10/$AZ$3)</f>
        <v>909090.90909090906</v>
      </c>
      <c r="AT48" s="14">
        <f t="shared" si="44"/>
        <v>8181818.1818181807</v>
      </c>
      <c r="AU48" s="9">
        <f t="shared" si="62"/>
        <v>0</v>
      </c>
      <c r="AV48" s="9">
        <f t="shared" si="53"/>
        <v>0</v>
      </c>
      <c r="AW48" s="18">
        <f t="shared" si="57"/>
        <v>1</v>
      </c>
      <c r="AY48" s="6"/>
    </row>
    <row r="49" spans="1:51" x14ac:dyDescent="0.25">
      <c r="A49" s="18">
        <v>47</v>
      </c>
      <c r="B49" s="18">
        <f t="shared" si="36"/>
        <v>9</v>
      </c>
      <c r="C49" s="19">
        <f t="shared" si="9"/>
        <v>90000000</v>
      </c>
      <c r="D49" s="10">
        <f t="shared" si="1"/>
        <v>9000000</v>
      </c>
      <c r="E49" s="14">
        <f t="shared" si="32"/>
        <v>10000000</v>
      </c>
      <c r="F49" s="9">
        <f t="shared" si="58"/>
        <v>1</v>
      </c>
      <c r="G49" s="9">
        <f t="shared" si="54"/>
        <v>1</v>
      </c>
      <c r="H49" s="18">
        <f t="shared" si="55"/>
        <v>9</v>
      </c>
      <c r="J49" s="30">
        <v>47</v>
      </c>
      <c r="K49" s="18">
        <f t="shared" si="38"/>
        <v>31</v>
      </c>
      <c r="L49" s="19">
        <f t="shared" si="12"/>
        <v>310000000</v>
      </c>
      <c r="M49" s="10">
        <f t="shared" si="2"/>
        <v>46500000</v>
      </c>
      <c r="N49" s="14">
        <f t="shared" si="33"/>
        <v>53000000</v>
      </c>
      <c r="O49" s="9">
        <f t="shared" si="59"/>
        <v>5</v>
      </c>
      <c r="P49" s="9">
        <f t="shared" si="47"/>
        <v>2</v>
      </c>
      <c r="Q49" s="18">
        <f t="shared" si="39"/>
        <v>34</v>
      </c>
      <c r="S49" s="18">
        <v>47</v>
      </c>
      <c r="T49" s="18">
        <f t="shared" si="40"/>
        <v>526</v>
      </c>
      <c r="U49" s="19">
        <f t="shared" si="15"/>
        <v>5260000000</v>
      </c>
      <c r="V49" s="10">
        <f t="shared" si="3"/>
        <v>1052000000</v>
      </c>
      <c r="W49" s="14">
        <f t="shared" si="34"/>
        <v>1056000000</v>
      </c>
      <c r="X49" s="9">
        <f t="shared" si="60"/>
        <v>105</v>
      </c>
      <c r="Y49" s="9">
        <f t="shared" si="49"/>
        <v>26</v>
      </c>
      <c r="Z49" s="18">
        <f t="shared" si="56"/>
        <v>605</v>
      </c>
      <c r="AC49" s="18">
        <v>47</v>
      </c>
      <c r="AD49" s="18">
        <f t="shared" si="42"/>
        <v>0</v>
      </c>
      <c r="AE49" s="37">
        <f t="shared" si="17"/>
        <v>0</v>
      </c>
      <c r="AF49" s="27">
        <f t="shared" si="18"/>
        <v>0</v>
      </c>
      <c r="AG49" s="39">
        <f>AD49*AF49*$AM$4</f>
        <v>0</v>
      </c>
      <c r="AH49" s="27">
        <f t="shared" si="19"/>
        <v>8926258.1760000009</v>
      </c>
      <c r="AI49" s="9">
        <f t="shared" si="61"/>
        <v>0</v>
      </c>
      <c r="AJ49" s="9">
        <f t="shared" si="51"/>
        <v>0</v>
      </c>
      <c r="AK49" s="18">
        <f t="shared" si="63"/>
        <v>0</v>
      </c>
      <c r="AL49" s="20">
        <f t="shared" si="6"/>
        <v>8926258.1760000009</v>
      </c>
      <c r="AP49" s="18">
        <v>47</v>
      </c>
      <c r="AQ49" s="18">
        <f t="shared" si="43"/>
        <v>1</v>
      </c>
      <c r="AR49" s="19">
        <f t="shared" si="21"/>
        <v>10000000</v>
      </c>
      <c r="AS49" s="10">
        <f>10000000*(AY11/$AZ$3)</f>
        <v>727272.72727272729</v>
      </c>
      <c r="AT49" s="14">
        <f t="shared" si="44"/>
        <v>8909090.9090909082</v>
      </c>
      <c r="AU49" s="9">
        <f t="shared" si="62"/>
        <v>0</v>
      </c>
      <c r="AV49" s="9">
        <f t="shared" si="53"/>
        <v>0</v>
      </c>
      <c r="AW49" s="18">
        <f t="shared" si="57"/>
        <v>1</v>
      </c>
      <c r="AY49" s="6"/>
    </row>
    <row r="50" spans="1:51" x14ac:dyDescent="0.25">
      <c r="A50" s="18">
        <v>48</v>
      </c>
      <c r="B50" s="18">
        <f t="shared" si="36"/>
        <v>9</v>
      </c>
      <c r="C50" s="19">
        <f t="shared" si="9"/>
        <v>90000000</v>
      </c>
      <c r="D50" s="10">
        <f t="shared" si="1"/>
        <v>9000000</v>
      </c>
      <c r="E50" s="14">
        <f t="shared" si="32"/>
        <v>9000000</v>
      </c>
      <c r="F50" s="9">
        <f t="shared" si="58"/>
        <v>0</v>
      </c>
      <c r="G50" s="9">
        <f t="shared" si="54"/>
        <v>1</v>
      </c>
      <c r="H50" s="18">
        <f t="shared" si="55"/>
        <v>8</v>
      </c>
      <c r="J50" s="30">
        <v>48</v>
      </c>
      <c r="K50" s="18">
        <f t="shared" si="38"/>
        <v>34</v>
      </c>
      <c r="L50" s="19">
        <f t="shared" si="12"/>
        <v>340000000</v>
      </c>
      <c r="M50" s="10">
        <f t="shared" si="2"/>
        <v>51000000</v>
      </c>
      <c r="N50" s="14">
        <f t="shared" si="33"/>
        <v>54000000</v>
      </c>
      <c r="O50" s="9">
        <f t="shared" si="59"/>
        <v>5</v>
      </c>
      <c r="P50" s="9">
        <f t="shared" si="47"/>
        <v>2</v>
      </c>
      <c r="Q50" s="18">
        <f t="shared" si="39"/>
        <v>37</v>
      </c>
      <c r="S50" s="18">
        <v>48</v>
      </c>
      <c r="T50" s="18">
        <f t="shared" si="40"/>
        <v>605</v>
      </c>
      <c r="U50" s="19">
        <f t="shared" si="15"/>
        <v>6050000000</v>
      </c>
      <c r="V50" s="10">
        <f t="shared" si="3"/>
        <v>1210000000</v>
      </c>
      <c r="W50" s="14">
        <f t="shared" si="34"/>
        <v>1216000000</v>
      </c>
      <c r="X50" s="9">
        <f t="shared" si="60"/>
        <v>121</v>
      </c>
      <c r="Y50" s="9">
        <f t="shared" si="49"/>
        <v>30</v>
      </c>
      <c r="Z50" s="18">
        <f t="shared" si="56"/>
        <v>696</v>
      </c>
      <c r="AC50" s="18">
        <v>48</v>
      </c>
      <c r="AD50" s="18">
        <f t="shared" si="42"/>
        <v>0</v>
      </c>
      <c r="AE50" s="37">
        <f t="shared" si="17"/>
        <v>0</v>
      </c>
      <c r="AF50" s="27">
        <f t="shared" si="18"/>
        <v>0</v>
      </c>
      <c r="AG50" s="39">
        <f>AD50*AF50*$AM$4</f>
        <v>0</v>
      </c>
      <c r="AH50" s="27">
        <f t="shared" si="19"/>
        <v>8926258.1760000009</v>
      </c>
      <c r="AI50" s="9">
        <f t="shared" si="61"/>
        <v>0</v>
      </c>
      <c r="AJ50" s="9">
        <f t="shared" si="51"/>
        <v>0</v>
      </c>
      <c r="AK50" s="18">
        <f t="shared" si="63"/>
        <v>0</v>
      </c>
      <c r="AL50" s="20">
        <f t="shared" si="6"/>
        <v>8926258.1760000009</v>
      </c>
      <c r="AP50" s="18">
        <v>48</v>
      </c>
      <c r="AQ50" s="18">
        <f t="shared" si="43"/>
        <v>1</v>
      </c>
      <c r="AR50" s="19">
        <f t="shared" si="21"/>
        <v>10000000</v>
      </c>
      <c r="AS50" s="10">
        <f>10000000*(AY12/$AZ$3)</f>
        <v>545454.54545454541</v>
      </c>
      <c r="AT50" s="14">
        <f t="shared" si="44"/>
        <v>9454545.4545454532</v>
      </c>
      <c r="AU50" s="9">
        <f t="shared" si="62"/>
        <v>0</v>
      </c>
      <c r="AV50" s="9">
        <f t="shared" si="53"/>
        <v>0</v>
      </c>
      <c r="AW50" s="18">
        <f t="shared" si="57"/>
        <v>1</v>
      </c>
      <c r="AY50" s="6"/>
    </row>
    <row r="51" spans="1:51" x14ac:dyDescent="0.25">
      <c r="A51" s="18">
        <v>49</v>
      </c>
      <c r="B51" s="18">
        <f t="shared" si="36"/>
        <v>8</v>
      </c>
      <c r="C51" s="19">
        <f t="shared" si="9"/>
        <v>80000000</v>
      </c>
      <c r="D51" s="10">
        <f t="shared" si="1"/>
        <v>8000000</v>
      </c>
      <c r="E51" s="14">
        <f t="shared" si="32"/>
        <v>17000000</v>
      </c>
      <c r="F51" s="9">
        <f t="shared" si="58"/>
        <v>1</v>
      </c>
      <c r="G51" s="9">
        <f t="shared" si="54"/>
        <v>1</v>
      </c>
      <c r="H51" s="18">
        <f t="shared" si="55"/>
        <v>8</v>
      </c>
      <c r="J51" s="30">
        <v>49</v>
      </c>
      <c r="K51" s="18">
        <f t="shared" si="38"/>
        <v>37</v>
      </c>
      <c r="L51" s="19">
        <f t="shared" si="12"/>
        <v>370000000</v>
      </c>
      <c r="M51" s="10">
        <f t="shared" si="2"/>
        <v>55500000</v>
      </c>
      <c r="N51" s="14">
        <f t="shared" si="33"/>
        <v>59500000</v>
      </c>
      <c r="O51" s="9">
        <f t="shared" si="59"/>
        <v>5</v>
      </c>
      <c r="P51" s="9">
        <f t="shared" si="47"/>
        <v>3</v>
      </c>
      <c r="Q51" s="18">
        <f t="shared" si="39"/>
        <v>39</v>
      </c>
      <c r="S51" s="18">
        <v>49</v>
      </c>
      <c r="T51" s="18">
        <f t="shared" si="40"/>
        <v>696</v>
      </c>
      <c r="U51" s="19">
        <f t="shared" si="15"/>
        <v>6960000000</v>
      </c>
      <c r="V51" s="10">
        <f t="shared" si="3"/>
        <v>1392000000</v>
      </c>
      <c r="W51" s="14">
        <f t="shared" si="34"/>
        <v>1398000000</v>
      </c>
      <c r="X51" s="9">
        <f t="shared" si="60"/>
        <v>139</v>
      </c>
      <c r="Y51" s="9">
        <f t="shared" si="49"/>
        <v>34</v>
      </c>
      <c r="Z51" s="18">
        <f t="shared" si="56"/>
        <v>801</v>
      </c>
      <c r="AC51" s="18">
        <v>49</v>
      </c>
      <c r="AD51" s="18">
        <f t="shared" si="42"/>
        <v>0</v>
      </c>
      <c r="AE51" s="37">
        <f t="shared" si="17"/>
        <v>0</v>
      </c>
      <c r="AF51" s="27">
        <f t="shared" si="18"/>
        <v>0</v>
      </c>
      <c r="AG51" s="39">
        <f>AD51*AF51*$AM$4</f>
        <v>0</v>
      </c>
      <c r="AH51" s="27">
        <f t="shared" si="19"/>
        <v>8926258.1760000009</v>
      </c>
      <c r="AI51" s="9">
        <f t="shared" si="61"/>
        <v>0</v>
      </c>
      <c r="AJ51" s="9">
        <f t="shared" si="51"/>
        <v>0</v>
      </c>
      <c r="AK51" s="18">
        <f t="shared" si="63"/>
        <v>0</v>
      </c>
      <c r="AL51" s="20">
        <f t="shared" si="6"/>
        <v>8926258.1760000009</v>
      </c>
      <c r="AP51" s="18">
        <v>49</v>
      </c>
      <c r="AQ51" s="18">
        <f t="shared" si="43"/>
        <v>1</v>
      </c>
      <c r="AR51" s="19">
        <f t="shared" si="21"/>
        <v>10000000</v>
      </c>
      <c r="AS51" s="10">
        <f>10000000*(AY13/$AZ$3)</f>
        <v>363636.36363636365</v>
      </c>
      <c r="AT51" s="14">
        <f t="shared" si="44"/>
        <v>9818181.8181818165</v>
      </c>
      <c r="AU51" s="9">
        <f t="shared" si="62"/>
        <v>0</v>
      </c>
      <c r="AV51" s="9">
        <f t="shared" si="53"/>
        <v>0</v>
      </c>
      <c r="AW51" s="18">
        <f t="shared" si="57"/>
        <v>1</v>
      </c>
      <c r="AY51" s="6"/>
    </row>
    <row r="52" spans="1:51" x14ac:dyDescent="0.25">
      <c r="A52" s="18">
        <v>50</v>
      </c>
      <c r="B52" s="18">
        <f t="shared" si="36"/>
        <v>8</v>
      </c>
      <c r="C52" s="19">
        <f t="shared" si="9"/>
        <v>80000000</v>
      </c>
      <c r="D52" s="10">
        <f t="shared" si="1"/>
        <v>8000000</v>
      </c>
      <c r="E52" s="14">
        <f t="shared" si="32"/>
        <v>15000000</v>
      </c>
      <c r="F52" s="9">
        <f t="shared" si="58"/>
        <v>1</v>
      </c>
      <c r="G52" s="9">
        <f t="shared" si="54"/>
        <v>1</v>
      </c>
      <c r="H52" s="18">
        <f t="shared" si="55"/>
        <v>8</v>
      </c>
      <c r="J52" s="30">
        <v>50</v>
      </c>
      <c r="K52" s="18">
        <f t="shared" si="38"/>
        <v>39</v>
      </c>
      <c r="L52" s="19">
        <f t="shared" si="12"/>
        <v>390000000</v>
      </c>
      <c r="M52" s="10">
        <f t="shared" si="2"/>
        <v>58500000</v>
      </c>
      <c r="N52" s="14">
        <f t="shared" si="33"/>
        <v>68000000</v>
      </c>
      <c r="O52" s="9">
        <f t="shared" si="59"/>
        <v>6</v>
      </c>
      <c r="P52" s="9">
        <f t="shared" si="47"/>
        <v>3</v>
      </c>
      <c r="Q52" s="18">
        <f t="shared" si="39"/>
        <v>42</v>
      </c>
      <c r="S52" s="18">
        <v>50</v>
      </c>
      <c r="T52" s="18">
        <f t="shared" si="40"/>
        <v>801</v>
      </c>
      <c r="U52" s="19">
        <f t="shared" si="15"/>
        <v>8010000000</v>
      </c>
      <c r="V52" s="10">
        <f t="shared" si="3"/>
        <v>1602000000</v>
      </c>
      <c r="W52" s="14">
        <f t="shared" si="34"/>
        <v>1610000000</v>
      </c>
      <c r="X52" s="9">
        <f t="shared" si="60"/>
        <v>161</v>
      </c>
      <c r="Y52" s="9">
        <f t="shared" si="49"/>
        <v>39</v>
      </c>
      <c r="Z52" s="18">
        <f t="shared" si="56"/>
        <v>923</v>
      </c>
      <c r="AC52" s="18">
        <v>50</v>
      </c>
      <c r="AD52" s="18">
        <f t="shared" si="42"/>
        <v>0</v>
      </c>
      <c r="AE52" s="37">
        <f t="shared" si="17"/>
        <v>0</v>
      </c>
      <c r="AF52" s="27">
        <f t="shared" si="18"/>
        <v>0</v>
      </c>
      <c r="AG52" s="39">
        <f>AD52*AF52*$AM$4</f>
        <v>0</v>
      </c>
      <c r="AH52" s="27">
        <f t="shared" si="19"/>
        <v>8926258.1760000009</v>
      </c>
      <c r="AI52" s="9">
        <f t="shared" si="61"/>
        <v>0</v>
      </c>
      <c r="AJ52" s="9">
        <f t="shared" si="51"/>
        <v>0</v>
      </c>
      <c r="AK52" s="18">
        <f t="shared" si="63"/>
        <v>0</v>
      </c>
      <c r="AL52" s="20">
        <f t="shared" si="6"/>
        <v>8926258.1760000009</v>
      </c>
      <c r="AP52" s="18">
        <v>50</v>
      </c>
      <c r="AQ52" s="18">
        <f t="shared" si="43"/>
        <v>1</v>
      </c>
      <c r="AR52" s="19">
        <f t="shared" si="21"/>
        <v>10000000</v>
      </c>
      <c r="AS52" s="10">
        <f>10000000*(AY14/$AZ$3)</f>
        <v>181818.18181818182</v>
      </c>
      <c r="AT52" s="14">
        <f t="shared" si="44"/>
        <v>9999999.9999999981</v>
      </c>
      <c r="AU52" s="9">
        <f t="shared" si="62"/>
        <v>1</v>
      </c>
      <c r="AV52" s="9">
        <f t="shared" si="53"/>
        <v>1</v>
      </c>
      <c r="AW52" s="18">
        <f t="shared" si="57"/>
        <v>1</v>
      </c>
      <c r="AY52" s="6"/>
    </row>
    <row r="53" spans="1:51" x14ac:dyDescent="0.25">
      <c r="AE53" s="20"/>
      <c r="AF53" s="20"/>
      <c r="AG53" s="20"/>
      <c r="AL53" s="20"/>
      <c r="AP53" s="6"/>
      <c r="AY53" s="6"/>
    </row>
    <row r="56" spans="1:51" ht="151.15" customHeight="1" x14ac:dyDescent="0.25"/>
    <row r="60" spans="1:51" ht="14.45" customHeight="1" x14ac:dyDescent="0.25"/>
    <row r="69" spans="38:38" x14ac:dyDescent="0.25">
      <c r="AL69" s="5" t="s">
        <v>16</v>
      </c>
    </row>
    <row r="115" spans="2:7" x14ac:dyDescent="0.25">
      <c r="B115" s="13"/>
      <c r="C115" s="13"/>
      <c r="D115" s="33"/>
      <c r="E115" s="33"/>
      <c r="F115" s="33"/>
      <c r="G115" s="33"/>
    </row>
    <row r="116" spans="2:7" x14ac:dyDescent="0.25">
      <c r="B116" s="13"/>
      <c r="C116" s="13"/>
      <c r="D116" s="33"/>
      <c r="E116" s="33"/>
      <c r="F116" s="13"/>
      <c r="G116" s="13"/>
    </row>
    <row r="117" spans="2:7" x14ac:dyDescent="0.25">
      <c r="B117" s="13"/>
      <c r="C117" s="13"/>
      <c r="D117" s="33"/>
      <c r="E117" s="33"/>
      <c r="F117" s="13"/>
      <c r="G117" s="13"/>
    </row>
    <row r="118" spans="2:7" x14ac:dyDescent="0.25">
      <c r="B118" s="13"/>
      <c r="C118" s="13"/>
      <c r="D118" s="33"/>
      <c r="E118" s="33"/>
      <c r="F118" s="13"/>
      <c r="G118" s="13"/>
    </row>
    <row r="119" spans="2:7" x14ac:dyDescent="0.25">
      <c r="B119" s="13"/>
      <c r="C119" s="13"/>
      <c r="D119" s="33"/>
      <c r="E119" s="33"/>
      <c r="F119" s="13"/>
      <c r="G119" s="13"/>
    </row>
    <row r="120" spans="2:7" x14ac:dyDescent="0.25">
      <c r="B120" s="13"/>
      <c r="C120" s="13"/>
      <c r="D120" s="33"/>
      <c r="E120" s="33"/>
      <c r="F120" s="13"/>
      <c r="G120" s="13"/>
    </row>
    <row r="121" spans="2:7" x14ac:dyDescent="0.25">
      <c r="B121" s="13"/>
      <c r="C121" s="13"/>
      <c r="D121" s="33"/>
      <c r="E121" s="33"/>
      <c r="F121" s="13"/>
      <c r="G121" s="13"/>
    </row>
    <row r="122" spans="2:7" x14ac:dyDescent="0.25">
      <c r="B122" s="13"/>
      <c r="C122" s="13"/>
      <c r="D122" s="33"/>
      <c r="E122" s="33"/>
      <c r="F122" s="13"/>
      <c r="G122" s="13"/>
    </row>
    <row r="123" spans="2:7" x14ac:dyDescent="0.25">
      <c r="B123" s="13"/>
      <c r="C123" s="13"/>
      <c r="D123" s="33"/>
      <c r="E123" s="33"/>
      <c r="F123" s="13"/>
      <c r="G123" s="13"/>
    </row>
    <row r="124" spans="2:7" x14ac:dyDescent="0.25">
      <c r="B124" s="13"/>
      <c r="C124" s="13"/>
      <c r="D124" s="33"/>
      <c r="E124" s="33"/>
      <c r="F124" s="13"/>
      <c r="G124" s="13"/>
    </row>
    <row r="125" spans="2:7" x14ac:dyDescent="0.25">
      <c r="B125" s="13"/>
      <c r="C125" s="13"/>
      <c r="D125" s="33"/>
      <c r="E125" s="33"/>
      <c r="F125" s="13"/>
      <c r="G125" s="13"/>
    </row>
  </sheetData>
  <mergeCells count="39">
    <mergeCell ref="D119:E119"/>
    <mergeCell ref="D118:E118"/>
    <mergeCell ref="D117:E117"/>
    <mergeCell ref="B125:C125"/>
    <mergeCell ref="B124:C124"/>
    <mergeCell ref="B123:C123"/>
    <mergeCell ref="B122:C122"/>
    <mergeCell ref="B121:C121"/>
    <mergeCell ref="B120:C120"/>
    <mergeCell ref="B119:C119"/>
    <mergeCell ref="F119:G119"/>
    <mergeCell ref="F118:G118"/>
    <mergeCell ref="F117:G117"/>
    <mergeCell ref="F116:G116"/>
    <mergeCell ref="D125:E125"/>
    <mergeCell ref="B116:C116"/>
    <mergeCell ref="D116:E116"/>
    <mergeCell ref="B118:C118"/>
    <mergeCell ref="B117:C117"/>
    <mergeCell ref="F125:G125"/>
    <mergeCell ref="F124:G124"/>
    <mergeCell ref="F123:G123"/>
    <mergeCell ref="F122:G122"/>
    <mergeCell ref="F121:G121"/>
    <mergeCell ref="F120:G120"/>
    <mergeCell ref="D124:E124"/>
    <mergeCell ref="D123:E123"/>
    <mergeCell ref="D122:E122"/>
    <mergeCell ref="D121:E121"/>
    <mergeCell ref="D120:E120"/>
    <mergeCell ref="AP1:AW1"/>
    <mergeCell ref="AX3:AY3"/>
    <mergeCell ref="B115:C115"/>
    <mergeCell ref="D115:E115"/>
    <mergeCell ref="F115:G115"/>
    <mergeCell ref="J1:Q1"/>
    <mergeCell ref="S1:Z1"/>
    <mergeCell ref="AC1:AJ1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Саидахмедов Алим</dc:creator>
  <cp:lastModifiedBy>Алим Саидахмедов</cp:lastModifiedBy>
  <dcterms:created xsi:type="dcterms:W3CDTF">2015-06-05T18:19:34Z</dcterms:created>
  <dcterms:modified xsi:type="dcterms:W3CDTF">2025-10-13T12:14:16Z</dcterms:modified>
</cp:coreProperties>
</file>