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КУБГАУ\4 курс\(ЭК) Экономическая кибернетика\"/>
    </mc:Choice>
  </mc:AlternateContent>
  <xr:revisionPtr revIDLastSave="0" documentId="8_{9DCB196A-7963-4B44-AA3E-6B2F7861844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8" i="1" l="1"/>
  <c r="D54" i="1"/>
  <c r="E54" i="1" s="1"/>
  <c r="D53" i="1"/>
  <c r="E53" i="1" s="1"/>
  <c r="D52" i="1"/>
  <c r="D51" i="1"/>
  <c r="E51" i="1" s="1"/>
  <c r="D50" i="1"/>
  <c r="E49" i="1"/>
  <c r="E50" i="1"/>
  <c r="E52" i="1"/>
  <c r="D49" i="1"/>
  <c r="E48" i="1"/>
  <c r="E47" i="1"/>
  <c r="C54" i="1"/>
  <c r="C53" i="1"/>
  <c r="C52" i="1"/>
  <c r="C51" i="1"/>
  <c r="C50" i="1"/>
  <c r="C49" i="1"/>
  <c r="C38" i="1"/>
  <c r="E31" i="1"/>
  <c r="C39" i="1"/>
  <c r="C31" i="1"/>
  <c r="C42" i="1"/>
  <c r="E42" i="1" s="1"/>
  <c r="C41" i="1"/>
  <c r="E41" i="1" s="1"/>
  <c r="C40" i="1"/>
  <c r="E40" i="1" s="1"/>
  <c r="E39" i="1"/>
  <c r="E38" i="1"/>
  <c r="C37" i="1"/>
  <c r="E37" i="1" s="1"/>
  <c r="C36" i="1"/>
  <c r="E36" i="1" s="1"/>
  <c r="C35" i="1"/>
  <c r="E35" i="1" s="1"/>
  <c r="C34" i="1"/>
  <c r="E34" i="1" s="1"/>
  <c r="C33" i="1"/>
  <c r="E33" i="1" s="1"/>
  <c r="C32" i="1"/>
  <c r="E32" i="1" s="1"/>
  <c r="E43" i="1"/>
  <c r="E55" i="1" l="1"/>
</calcChain>
</file>

<file path=xl/sharedStrings.xml><?xml version="1.0" encoding="utf-8"?>
<sst xmlns="http://schemas.openxmlformats.org/spreadsheetml/2006/main" count="104" uniqueCount="22">
  <si>
    <t>Откуда</t>
  </si>
  <si>
    <t>Кому</t>
  </si>
  <si>
    <t>Количество заказов</t>
  </si>
  <si>
    <t>С1</t>
  </si>
  <si>
    <t>С2</t>
  </si>
  <si>
    <t>С3</t>
  </si>
  <si>
    <t>П1</t>
  </si>
  <si>
    <t>П2</t>
  </si>
  <si>
    <t>П3</t>
  </si>
  <si>
    <t>П4</t>
  </si>
  <si>
    <t>П5</t>
  </si>
  <si>
    <t>П6</t>
  </si>
  <si>
    <t>Расчет транспортных затрат (заказы × расстояние)</t>
  </si>
  <si>
    <t>Расстояние</t>
  </si>
  <si>
    <t>Затраты</t>
  </si>
  <si>
    <t>Итого:</t>
  </si>
  <si>
    <t>Расстояние между складами и потребителями, км</t>
  </si>
  <si>
    <t>Количество заказов складов компании</t>
  </si>
  <si>
    <t>План перевозок с точки зрения минимально покрываемых расстояний</t>
  </si>
  <si>
    <r>
      <t xml:space="preserve">Исходная схема — суммарно </t>
    </r>
    <r>
      <rPr>
        <b/>
        <sz val="11"/>
        <color theme="1"/>
        <rFont val="Calibri"/>
        <family val="2"/>
        <scheme val="minor"/>
      </rPr>
      <t>894 300</t>
    </r>
    <r>
      <rPr>
        <sz val="11"/>
        <color theme="1"/>
        <rFont val="Calibri"/>
        <family val="2"/>
        <scheme val="minor"/>
      </rPr>
      <t>.</t>
    </r>
  </si>
  <si>
    <r>
      <t xml:space="preserve">Предложенный план — суммарно </t>
    </r>
    <r>
      <rPr>
        <b/>
        <sz val="11"/>
        <color theme="1"/>
        <rFont val="Calibri"/>
        <family val="2"/>
        <charset val="204"/>
        <scheme val="minor"/>
      </rPr>
      <t>748 300</t>
    </r>
    <r>
      <rPr>
        <sz val="11"/>
        <color theme="1"/>
        <rFont val="Calibri"/>
        <family val="2"/>
        <scheme val="minor"/>
      </rPr>
      <t>.</t>
    </r>
  </si>
  <si>
    <r>
      <t xml:space="preserve">Экономия = </t>
    </r>
    <r>
      <rPr>
        <b/>
        <sz val="11"/>
        <color theme="1"/>
        <rFont val="Calibri"/>
        <family val="2"/>
        <charset val="204"/>
        <scheme val="minor"/>
      </rPr>
      <t xml:space="preserve">146 000, </t>
    </r>
    <r>
      <rPr>
        <sz val="11"/>
        <color theme="1"/>
        <rFont val="Calibri"/>
        <family val="2"/>
        <scheme val="minor"/>
      </rPr>
      <t>то есть уменьшение суммарно покрываемых расстояний на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</si>
</sst>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name val="Calibri"/>
      <family val="2"/>
      <charset val="204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rgb="FFCFE2F3"/>
      </patternFill>
    </fill>
    <fill>
      <patternFill patternType="solid">
        <fgColor theme="7" tint="0.59999389629810485"/>
        <bgColor rgb="FFCF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0" fontId="3" fillId="0" borderId="0" xfId="0" applyNumberFormat="1" applyFont="1"/>
    <xf numFmtId="0" fontId="2" fillId="0" borderId="0" xfId="0" applyFont="1"/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"/>
  <sheetViews>
    <sheetView tabSelected="1" zoomScale="85" zoomScaleNormal="85" workbookViewId="0">
      <selection activeCell="E38" sqref="E38"/>
    </sheetView>
  </sheetViews>
  <sheetFormatPr defaultRowHeight="15" x14ac:dyDescent="0.25"/>
  <cols>
    <col min="1" max="9" width="12" customWidth="1"/>
  </cols>
  <sheetData>
    <row r="1" spans="1:3" x14ac:dyDescent="0.25">
      <c r="A1" s="3" t="s">
        <v>17</v>
      </c>
    </row>
    <row r="2" spans="1:3" ht="30" x14ac:dyDescent="0.25">
      <c r="A2" s="15" t="s">
        <v>0</v>
      </c>
      <c r="B2" s="15" t="s">
        <v>1</v>
      </c>
      <c r="C2" s="15" t="s">
        <v>2</v>
      </c>
    </row>
    <row r="3" spans="1:3" x14ac:dyDescent="0.25">
      <c r="A3" s="1" t="s">
        <v>3</v>
      </c>
      <c r="B3" s="1" t="s">
        <v>4</v>
      </c>
      <c r="C3" s="1">
        <v>2150</v>
      </c>
    </row>
    <row r="4" spans="1:3" x14ac:dyDescent="0.25">
      <c r="A4" s="1" t="s">
        <v>3</v>
      </c>
      <c r="B4" s="1" t="s">
        <v>5</v>
      </c>
      <c r="C4" s="1">
        <v>1650</v>
      </c>
    </row>
    <row r="5" spans="1:3" x14ac:dyDescent="0.25">
      <c r="A5" s="1" t="s">
        <v>3</v>
      </c>
      <c r="B5" s="1" t="s">
        <v>6</v>
      </c>
      <c r="C5" s="1">
        <v>4950</v>
      </c>
    </row>
    <row r="6" spans="1:3" x14ac:dyDescent="0.25">
      <c r="A6" s="1" t="s">
        <v>3</v>
      </c>
      <c r="B6" s="1" t="s">
        <v>7</v>
      </c>
      <c r="C6" s="1">
        <v>3150</v>
      </c>
    </row>
    <row r="7" spans="1:3" x14ac:dyDescent="0.25">
      <c r="A7" s="1" t="s">
        <v>3</v>
      </c>
      <c r="B7" s="1" t="s">
        <v>8</v>
      </c>
      <c r="C7" s="1">
        <v>1350</v>
      </c>
    </row>
    <row r="8" spans="1:3" x14ac:dyDescent="0.25">
      <c r="A8" s="1" t="s">
        <v>4</v>
      </c>
      <c r="B8" s="1" t="s">
        <v>6</v>
      </c>
      <c r="C8" s="1">
        <v>1150</v>
      </c>
    </row>
    <row r="9" spans="1:3" x14ac:dyDescent="0.25">
      <c r="A9" s="1" t="s">
        <v>4</v>
      </c>
      <c r="B9" s="1" t="s">
        <v>8</v>
      </c>
      <c r="C9" s="1">
        <v>1250</v>
      </c>
    </row>
    <row r="10" spans="1:3" x14ac:dyDescent="0.25">
      <c r="A10" s="1" t="s">
        <v>4</v>
      </c>
      <c r="B10" s="1" t="s">
        <v>9</v>
      </c>
      <c r="C10" s="1">
        <v>1650</v>
      </c>
    </row>
    <row r="11" spans="1:3" x14ac:dyDescent="0.25">
      <c r="A11" s="1" t="s">
        <v>4</v>
      </c>
      <c r="B11" s="1" t="s">
        <v>10</v>
      </c>
      <c r="C11" s="1">
        <v>1950</v>
      </c>
    </row>
    <row r="12" spans="1:3" x14ac:dyDescent="0.25">
      <c r="A12" s="1" t="s">
        <v>5</v>
      </c>
      <c r="B12" s="1" t="s">
        <v>7</v>
      </c>
      <c r="C12" s="1">
        <v>2050</v>
      </c>
    </row>
    <row r="13" spans="1:3" x14ac:dyDescent="0.25">
      <c r="A13" s="1" t="s">
        <v>5</v>
      </c>
      <c r="B13" s="1" t="s">
        <v>10</v>
      </c>
      <c r="C13" s="1">
        <v>750</v>
      </c>
    </row>
    <row r="14" spans="1:3" x14ac:dyDescent="0.25">
      <c r="A14" s="1" t="s">
        <v>5</v>
      </c>
      <c r="B14" s="1" t="s">
        <v>11</v>
      </c>
      <c r="C14" s="1">
        <v>2350</v>
      </c>
    </row>
    <row r="16" spans="1:3" x14ac:dyDescent="0.25">
      <c r="A16" s="3" t="s">
        <v>16</v>
      </c>
    </row>
    <row r="17" spans="1:11" x14ac:dyDescent="0.25">
      <c r="A17" s="15"/>
      <c r="B17" s="15" t="s">
        <v>3</v>
      </c>
      <c r="C17" s="15" t="s">
        <v>4</v>
      </c>
      <c r="D17" s="15" t="s">
        <v>5</v>
      </c>
      <c r="E17" s="15" t="s">
        <v>6</v>
      </c>
      <c r="F17" s="15" t="s">
        <v>7</v>
      </c>
      <c r="G17" s="15" t="s">
        <v>8</v>
      </c>
      <c r="H17" s="15" t="s">
        <v>9</v>
      </c>
      <c r="I17" s="15" t="s">
        <v>10</v>
      </c>
      <c r="J17" s="15" t="s">
        <v>11</v>
      </c>
    </row>
    <row r="18" spans="1:11" x14ac:dyDescent="0.25">
      <c r="A18" s="15" t="s">
        <v>3</v>
      </c>
      <c r="B18" s="1">
        <v>0</v>
      </c>
      <c r="C18" s="1">
        <v>6</v>
      </c>
      <c r="D18" s="1">
        <v>46</v>
      </c>
      <c r="E18" s="1">
        <v>51</v>
      </c>
      <c r="F18" s="1">
        <v>31</v>
      </c>
      <c r="G18" s="1">
        <v>31</v>
      </c>
      <c r="H18" s="1">
        <v>61</v>
      </c>
      <c r="I18" s="1">
        <v>76</v>
      </c>
      <c r="J18" s="1">
        <v>81</v>
      </c>
    </row>
    <row r="19" spans="1:11" x14ac:dyDescent="0.25">
      <c r="A19" s="15" t="s">
        <v>4</v>
      </c>
      <c r="B19" s="1">
        <v>6</v>
      </c>
      <c r="C19" s="1">
        <v>0</v>
      </c>
      <c r="D19" s="1">
        <v>81</v>
      </c>
      <c r="E19" s="1">
        <v>39</v>
      </c>
      <c r="F19" s="1">
        <v>71</v>
      </c>
      <c r="G19" s="1">
        <v>31</v>
      </c>
      <c r="H19" s="1">
        <v>9</v>
      </c>
      <c r="I19" s="1">
        <v>11</v>
      </c>
      <c r="J19" s="1">
        <v>61</v>
      </c>
    </row>
    <row r="20" spans="1:11" x14ac:dyDescent="0.25">
      <c r="A20" s="15" t="s">
        <v>5</v>
      </c>
      <c r="B20" s="1">
        <v>46</v>
      </c>
      <c r="C20" s="1">
        <v>81</v>
      </c>
      <c r="D20" s="1">
        <v>0</v>
      </c>
      <c r="E20" s="1">
        <v>86</v>
      </c>
      <c r="F20" s="1">
        <v>36</v>
      </c>
      <c r="G20" s="1">
        <v>61</v>
      </c>
      <c r="H20" s="1">
        <v>56</v>
      </c>
      <c r="I20" s="1">
        <v>8</v>
      </c>
      <c r="J20" s="1">
        <v>91</v>
      </c>
    </row>
    <row r="21" spans="1:11" x14ac:dyDescent="0.25">
      <c r="A21" s="15" t="s">
        <v>6</v>
      </c>
      <c r="B21" s="1">
        <v>51</v>
      </c>
      <c r="C21" s="1">
        <v>39</v>
      </c>
      <c r="D21" s="1">
        <v>86</v>
      </c>
      <c r="E21" s="1">
        <v>0</v>
      </c>
      <c r="F21" s="1">
        <v>21</v>
      </c>
      <c r="G21" s="1">
        <v>41</v>
      </c>
      <c r="H21" s="1">
        <v>26</v>
      </c>
      <c r="I21" s="1">
        <v>31</v>
      </c>
      <c r="J21" s="1">
        <v>71</v>
      </c>
    </row>
    <row r="22" spans="1:11" x14ac:dyDescent="0.25">
      <c r="A22" s="15" t="s">
        <v>7</v>
      </c>
      <c r="B22" s="1">
        <v>31</v>
      </c>
      <c r="C22" s="1">
        <v>71</v>
      </c>
      <c r="D22" s="1">
        <v>36</v>
      </c>
      <c r="E22" s="1">
        <v>21</v>
      </c>
      <c r="F22" s="1">
        <v>0</v>
      </c>
      <c r="G22" s="1">
        <v>41</v>
      </c>
      <c r="H22" s="1">
        <v>91</v>
      </c>
      <c r="I22" s="1">
        <v>16</v>
      </c>
      <c r="J22" s="1">
        <v>11</v>
      </c>
    </row>
    <row r="23" spans="1:11" x14ac:dyDescent="0.25">
      <c r="A23" s="15" t="s">
        <v>8</v>
      </c>
      <c r="B23" s="1">
        <v>31</v>
      </c>
      <c r="C23" s="1">
        <v>31</v>
      </c>
      <c r="D23" s="1">
        <v>61</v>
      </c>
      <c r="E23" s="1">
        <v>41</v>
      </c>
      <c r="F23" s="1">
        <v>41</v>
      </c>
      <c r="G23" s="1">
        <v>0</v>
      </c>
      <c r="H23" s="1">
        <v>11</v>
      </c>
      <c r="I23" s="1">
        <v>7</v>
      </c>
      <c r="J23" s="1">
        <v>91</v>
      </c>
    </row>
    <row r="24" spans="1:11" x14ac:dyDescent="0.25">
      <c r="A24" s="15" t="s">
        <v>9</v>
      </c>
      <c r="B24" s="1">
        <v>61</v>
      </c>
      <c r="C24" s="1">
        <v>9</v>
      </c>
      <c r="D24" s="1">
        <v>56</v>
      </c>
      <c r="E24" s="1">
        <v>26</v>
      </c>
      <c r="F24" s="1">
        <v>91</v>
      </c>
      <c r="G24" s="1">
        <v>11</v>
      </c>
      <c r="H24" s="1">
        <v>0</v>
      </c>
      <c r="I24" s="1">
        <v>81</v>
      </c>
      <c r="J24" s="1">
        <v>41</v>
      </c>
    </row>
    <row r="25" spans="1:11" x14ac:dyDescent="0.25">
      <c r="A25" s="15" t="s">
        <v>10</v>
      </c>
      <c r="B25" s="1">
        <v>76</v>
      </c>
      <c r="C25" s="1">
        <v>11</v>
      </c>
      <c r="D25" s="1">
        <v>8</v>
      </c>
      <c r="E25" s="1">
        <v>31</v>
      </c>
      <c r="F25" s="1">
        <v>16</v>
      </c>
      <c r="G25" s="1">
        <v>7</v>
      </c>
      <c r="H25" s="1">
        <v>81</v>
      </c>
      <c r="I25" s="1">
        <v>0</v>
      </c>
      <c r="J25" s="1">
        <v>16</v>
      </c>
    </row>
    <row r="26" spans="1:11" x14ac:dyDescent="0.25">
      <c r="A26" s="15" t="s">
        <v>11</v>
      </c>
      <c r="B26" s="1">
        <v>81</v>
      </c>
      <c r="C26" s="1">
        <v>61</v>
      </c>
      <c r="D26" s="1">
        <v>91</v>
      </c>
      <c r="E26" s="1">
        <v>71</v>
      </c>
      <c r="F26" s="1">
        <v>11</v>
      </c>
      <c r="G26" s="1">
        <v>91</v>
      </c>
      <c r="H26" s="1">
        <v>41</v>
      </c>
      <c r="I26" s="1">
        <v>16</v>
      </c>
      <c r="J26" s="1">
        <v>0</v>
      </c>
    </row>
    <row r="29" spans="1:11" x14ac:dyDescent="0.25">
      <c r="A29" s="13" t="s">
        <v>12</v>
      </c>
      <c r="B29" s="14"/>
      <c r="C29" s="14"/>
      <c r="D29" s="14"/>
      <c r="E29" s="14"/>
      <c r="G29" s="3"/>
    </row>
    <row r="30" spans="1:11" ht="30" x14ac:dyDescent="0.25">
      <c r="A30" s="15" t="s">
        <v>0</v>
      </c>
      <c r="B30" s="15" t="s">
        <v>1</v>
      </c>
      <c r="C30" s="15" t="s">
        <v>2</v>
      </c>
      <c r="D30" s="15" t="s">
        <v>13</v>
      </c>
      <c r="E30" s="15" t="s">
        <v>14</v>
      </c>
      <c r="G30" s="5"/>
      <c r="H30" s="5"/>
      <c r="I30" s="5"/>
      <c r="J30" s="5"/>
      <c r="K30" s="5"/>
    </row>
    <row r="31" spans="1:11" x14ac:dyDescent="0.25">
      <c r="A31" s="16" t="s">
        <v>3</v>
      </c>
      <c r="B31" s="16" t="s">
        <v>4</v>
      </c>
      <c r="C31" s="16">
        <f>C3</f>
        <v>2150</v>
      </c>
      <c r="D31" s="16">
        <v>6</v>
      </c>
      <c r="E31" s="16">
        <f>C31*D31</f>
        <v>12900</v>
      </c>
      <c r="G31" s="6"/>
      <c r="H31" s="6"/>
      <c r="I31" s="6"/>
      <c r="J31" s="6"/>
      <c r="K31" s="6"/>
    </row>
    <row r="32" spans="1:11" x14ac:dyDescent="0.25">
      <c r="A32" s="16" t="s">
        <v>3</v>
      </c>
      <c r="B32" s="16" t="s">
        <v>5</v>
      </c>
      <c r="C32" s="16">
        <f t="shared" ref="C32:C42" si="0">C4</f>
        <v>1650</v>
      </c>
      <c r="D32" s="16">
        <v>46</v>
      </c>
      <c r="E32" s="16">
        <f t="shared" ref="E32:E42" si="1">C32*D32</f>
        <v>75900</v>
      </c>
      <c r="G32" s="6"/>
      <c r="H32" s="6"/>
      <c r="I32" s="6"/>
      <c r="J32" s="6"/>
      <c r="K32" s="6"/>
    </row>
    <row r="33" spans="1:15" x14ac:dyDescent="0.25">
      <c r="A33" s="16" t="s">
        <v>3</v>
      </c>
      <c r="B33" s="16" t="s">
        <v>6</v>
      </c>
      <c r="C33" s="16">
        <f t="shared" si="0"/>
        <v>4950</v>
      </c>
      <c r="D33" s="16">
        <v>51</v>
      </c>
      <c r="E33" s="16">
        <f t="shared" si="1"/>
        <v>252450</v>
      </c>
      <c r="G33" s="6"/>
      <c r="H33" s="6"/>
      <c r="I33" s="6"/>
      <c r="J33" s="6"/>
      <c r="K33" s="6"/>
    </row>
    <row r="34" spans="1:15" x14ac:dyDescent="0.25">
      <c r="A34" s="16" t="s">
        <v>3</v>
      </c>
      <c r="B34" s="16" t="s">
        <v>7</v>
      </c>
      <c r="C34" s="16">
        <f t="shared" si="0"/>
        <v>3150</v>
      </c>
      <c r="D34" s="16">
        <v>31</v>
      </c>
      <c r="E34" s="16">
        <f t="shared" si="1"/>
        <v>97650</v>
      </c>
      <c r="G34" s="6"/>
      <c r="H34" s="6"/>
      <c r="I34" s="6"/>
      <c r="J34" s="6"/>
      <c r="K34" s="6"/>
    </row>
    <row r="35" spans="1:15" x14ac:dyDescent="0.25">
      <c r="A35" s="16" t="s">
        <v>3</v>
      </c>
      <c r="B35" s="16" t="s">
        <v>8</v>
      </c>
      <c r="C35" s="16">
        <f t="shared" si="0"/>
        <v>1350</v>
      </c>
      <c r="D35" s="16">
        <v>31</v>
      </c>
      <c r="E35" s="16">
        <f t="shared" si="1"/>
        <v>41850</v>
      </c>
      <c r="G35" s="6"/>
      <c r="H35" s="6"/>
      <c r="I35" s="6"/>
      <c r="J35" s="6"/>
      <c r="K35" s="6"/>
    </row>
    <row r="36" spans="1:15" x14ac:dyDescent="0.25">
      <c r="A36" s="16" t="s">
        <v>4</v>
      </c>
      <c r="B36" s="16" t="s">
        <v>6</v>
      </c>
      <c r="C36" s="16">
        <f t="shared" si="0"/>
        <v>1150</v>
      </c>
      <c r="D36" s="16">
        <v>39</v>
      </c>
      <c r="E36" s="16">
        <f t="shared" si="1"/>
        <v>44850</v>
      </c>
      <c r="G36" s="6"/>
      <c r="H36" s="6"/>
      <c r="I36" s="6"/>
      <c r="J36" s="6"/>
      <c r="K36" s="6"/>
    </row>
    <row r="37" spans="1:15" x14ac:dyDescent="0.25">
      <c r="A37" s="16" t="s">
        <v>4</v>
      </c>
      <c r="B37" s="16" t="s">
        <v>8</v>
      </c>
      <c r="C37" s="16">
        <f t="shared" si="0"/>
        <v>1250</v>
      </c>
      <c r="D37" s="16">
        <v>31</v>
      </c>
      <c r="E37" s="16">
        <f t="shared" si="1"/>
        <v>38750</v>
      </c>
      <c r="G37" s="6"/>
      <c r="H37" s="6"/>
      <c r="I37" s="6"/>
      <c r="J37" s="6"/>
      <c r="K37" s="6"/>
    </row>
    <row r="38" spans="1:15" x14ac:dyDescent="0.25">
      <c r="A38" s="16" t="s">
        <v>4</v>
      </c>
      <c r="B38" s="16" t="s">
        <v>9</v>
      </c>
      <c r="C38" s="16">
        <f>C10</f>
        <v>1650</v>
      </c>
      <c r="D38" s="16">
        <v>9</v>
      </c>
      <c r="E38" s="16">
        <f t="shared" si="1"/>
        <v>14850</v>
      </c>
      <c r="G38" s="6"/>
      <c r="H38" s="6"/>
      <c r="I38" s="6"/>
      <c r="J38" s="6"/>
      <c r="K38" s="6"/>
    </row>
    <row r="39" spans="1:15" x14ac:dyDescent="0.25">
      <c r="A39" s="16" t="s">
        <v>4</v>
      </c>
      <c r="B39" s="16" t="s">
        <v>10</v>
      </c>
      <c r="C39" s="16">
        <f>C11</f>
        <v>1950</v>
      </c>
      <c r="D39" s="16">
        <v>11</v>
      </c>
      <c r="E39" s="16">
        <f t="shared" si="1"/>
        <v>21450</v>
      </c>
      <c r="G39" s="6"/>
      <c r="H39" s="6"/>
      <c r="I39" s="6"/>
      <c r="J39" s="6"/>
      <c r="K39" s="6"/>
    </row>
    <row r="40" spans="1:15" x14ac:dyDescent="0.25">
      <c r="A40" s="16" t="s">
        <v>5</v>
      </c>
      <c r="B40" s="16" t="s">
        <v>7</v>
      </c>
      <c r="C40" s="16">
        <f t="shared" si="0"/>
        <v>2050</v>
      </c>
      <c r="D40" s="16">
        <v>36</v>
      </c>
      <c r="E40" s="16">
        <f t="shared" si="1"/>
        <v>73800</v>
      </c>
      <c r="G40" s="6"/>
      <c r="H40" s="6"/>
      <c r="I40" s="6"/>
      <c r="J40" s="6"/>
      <c r="K40" s="6"/>
    </row>
    <row r="41" spans="1:15" x14ac:dyDescent="0.25">
      <c r="A41" s="16" t="s">
        <v>5</v>
      </c>
      <c r="B41" s="16" t="s">
        <v>10</v>
      </c>
      <c r="C41" s="16">
        <f t="shared" si="0"/>
        <v>750</v>
      </c>
      <c r="D41" s="16">
        <v>8</v>
      </c>
      <c r="E41" s="16">
        <f t="shared" si="1"/>
        <v>6000</v>
      </c>
      <c r="G41" s="6"/>
      <c r="H41" s="6"/>
      <c r="I41" s="6"/>
      <c r="J41" s="6"/>
      <c r="K41" s="6"/>
    </row>
    <row r="42" spans="1:15" x14ac:dyDescent="0.25">
      <c r="A42" s="16" t="s">
        <v>5</v>
      </c>
      <c r="B42" s="16" t="s">
        <v>11</v>
      </c>
      <c r="C42" s="16">
        <f t="shared" si="0"/>
        <v>2350</v>
      </c>
      <c r="D42" s="16">
        <v>91</v>
      </c>
      <c r="E42" s="16">
        <f t="shared" si="1"/>
        <v>213850</v>
      </c>
      <c r="G42" s="6"/>
      <c r="H42" s="6"/>
      <c r="I42" s="6"/>
      <c r="J42" s="6"/>
      <c r="K42" s="6"/>
    </row>
    <row r="43" spans="1:15" x14ac:dyDescent="0.25">
      <c r="D43" s="2" t="s">
        <v>15</v>
      </c>
      <c r="E43" s="4">
        <f>SUM(E31:E42)</f>
        <v>894300</v>
      </c>
      <c r="J43" s="2"/>
      <c r="K43" s="2"/>
    </row>
    <row r="45" spans="1:15" x14ac:dyDescent="0.25">
      <c r="A45" s="3" t="s">
        <v>18</v>
      </c>
    </row>
    <row r="46" spans="1:15" ht="30" x14ac:dyDescent="0.25">
      <c r="A46" s="17" t="s">
        <v>0</v>
      </c>
      <c r="B46" s="17" t="s">
        <v>1</v>
      </c>
      <c r="C46" s="17" t="s">
        <v>2</v>
      </c>
      <c r="D46" s="17" t="s">
        <v>13</v>
      </c>
      <c r="E46" s="17" t="s">
        <v>14</v>
      </c>
      <c r="G46" t="s">
        <v>19</v>
      </c>
    </row>
    <row r="47" spans="1:15" x14ac:dyDescent="0.25">
      <c r="A47" s="1" t="s">
        <v>3</v>
      </c>
      <c r="B47" s="1" t="s">
        <v>4</v>
      </c>
      <c r="C47" s="1">
        <v>2150</v>
      </c>
      <c r="D47" s="1">
        <v>6</v>
      </c>
      <c r="E47" s="1">
        <f>C47*D47</f>
        <v>12900</v>
      </c>
      <c r="G47" t="s">
        <v>20</v>
      </c>
    </row>
    <row r="48" spans="1:15" x14ac:dyDescent="0.25">
      <c r="A48" s="1" t="s">
        <v>3</v>
      </c>
      <c r="B48" s="1" t="s">
        <v>5</v>
      </c>
      <c r="C48" s="1">
        <v>1650</v>
      </c>
      <c r="D48" s="1">
        <v>46</v>
      </c>
      <c r="E48" s="1">
        <f t="shared" ref="E48:E54" si="2">C48*D48</f>
        <v>75900</v>
      </c>
      <c r="G48" t="s">
        <v>21</v>
      </c>
      <c r="O48" s="12">
        <f>1-E55/E43</f>
        <v>0.16325617801632564</v>
      </c>
    </row>
    <row r="49" spans="1:5" x14ac:dyDescent="0.25">
      <c r="A49" s="7" t="s">
        <v>4</v>
      </c>
      <c r="B49" s="8" t="s">
        <v>6</v>
      </c>
      <c r="C49" s="9">
        <f>C33+C36</f>
        <v>6100</v>
      </c>
      <c r="D49" s="1">
        <f>D36</f>
        <v>39</v>
      </c>
      <c r="E49" s="1">
        <f t="shared" si="2"/>
        <v>237900</v>
      </c>
    </row>
    <row r="50" spans="1:5" x14ac:dyDescent="0.25">
      <c r="A50" s="7" t="s">
        <v>3</v>
      </c>
      <c r="B50" s="10" t="s">
        <v>7</v>
      </c>
      <c r="C50" s="11">
        <f>C34+C40</f>
        <v>5200</v>
      </c>
      <c r="D50" s="1">
        <f>D34</f>
        <v>31</v>
      </c>
      <c r="E50" s="1">
        <f t="shared" si="2"/>
        <v>161200</v>
      </c>
    </row>
    <row r="51" spans="1:5" x14ac:dyDescent="0.25">
      <c r="A51" s="7" t="s">
        <v>3</v>
      </c>
      <c r="B51" s="8" t="s">
        <v>8</v>
      </c>
      <c r="C51" s="11">
        <f>C35+C37</f>
        <v>2600</v>
      </c>
      <c r="D51" s="1">
        <f>D35</f>
        <v>31</v>
      </c>
      <c r="E51" s="1">
        <f t="shared" si="2"/>
        <v>80600</v>
      </c>
    </row>
    <row r="52" spans="1:5" x14ac:dyDescent="0.25">
      <c r="A52" s="7" t="s">
        <v>4</v>
      </c>
      <c r="B52" s="10" t="s">
        <v>9</v>
      </c>
      <c r="C52" s="11">
        <f>C38</f>
        <v>1650</v>
      </c>
      <c r="D52" s="1">
        <f>D38</f>
        <v>9</v>
      </c>
      <c r="E52" s="1">
        <f t="shared" si="2"/>
        <v>14850</v>
      </c>
    </row>
    <row r="53" spans="1:5" x14ac:dyDescent="0.25">
      <c r="A53" s="7" t="s">
        <v>5</v>
      </c>
      <c r="B53" s="8" t="s">
        <v>10</v>
      </c>
      <c r="C53" s="11">
        <f>C39+C41</f>
        <v>2700</v>
      </c>
      <c r="D53" s="1">
        <f>D41</f>
        <v>8</v>
      </c>
      <c r="E53" s="1">
        <f t="shared" si="2"/>
        <v>21600</v>
      </c>
    </row>
    <row r="54" spans="1:5" x14ac:dyDescent="0.25">
      <c r="A54" s="1" t="s">
        <v>4</v>
      </c>
      <c r="B54" s="10" t="s">
        <v>11</v>
      </c>
      <c r="C54" s="11">
        <f>C42</f>
        <v>2350</v>
      </c>
      <c r="D54" s="1">
        <f>J19</f>
        <v>61</v>
      </c>
      <c r="E54" s="1">
        <f t="shared" si="2"/>
        <v>143350</v>
      </c>
    </row>
    <row r="55" spans="1:5" x14ac:dyDescent="0.25">
      <c r="A55" s="6"/>
      <c r="B55" s="6"/>
      <c r="C55" s="6"/>
      <c r="D55" s="2" t="s">
        <v>15</v>
      </c>
      <c r="E55" s="4">
        <f>SUM(E47:E54)</f>
        <v>748300</v>
      </c>
    </row>
    <row r="56" spans="1:5" x14ac:dyDescent="0.25">
      <c r="A56" s="6"/>
      <c r="B56" s="6"/>
      <c r="C56" s="6"/>
      <c r="D56" s="6"/>
      <c r="E56" s="6"/>
    </row>
    <row r="57" spans="1:5" x14ac:dyDescent="0.25">
      <c r="A57" s="6"/>
      <c r="B57" s="6"/>
      <c r="C57" s="6"/>
      <c r="D57" s="6"/>
      <c r="E57" s="6"/>
    </row>
    <row r="58" spans="1:5" x14ac:dyDescent="0.25">
      <c r="A58" s="6"/>
      <c r="B58" s="6"/>
      <c r="C58" s="6"/>
      <c r="D58" s="6"/>
      <c r="E58" s="6"/>
    </row>
    <row r="59" spans="1:5" x14ac:dyDescent="0.25">
      <c r="D59" s="2"/>
      <c r="E59" s="2"/>
    </row>
  </sheetData>
  <mergeCells count="1">
    <mergeCell ref="A29:E29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Мелконян Кристина</dc:creator>
  <cp:lastModifiedBy>Алим Саидахмедов</cp:lastModifiedBy>
  <dcterms:created xsi:type="dcterms:W3CDTF">2025-09-22T11:42:21Z</dcterms:created>
  <dcterms:modified xsi:type="dcterms:W3CDTF">2025-10-15T19:49:18Z</dcterms:modified>
</cp:coreProperties>
</file>