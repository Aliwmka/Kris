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КУБГАУ\4 курс\(ЭК) Экономическая кибернетика\"/>
    </mc:Choice>
  </mc:AlternateContent>
  <xr:revisionPtr revIDLastSave="0" documentId="13_ncr:1_{7234E86E-7EDA-4BBC-8D3C-3A7205355F2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D29" i="1"/>
  <c r="G22" i="1"/>
  <c r="E22" i="1"/>
  <c r="C22" i="1"/>
  <c r="E12" i="1"/>
  <c r="H12" i="1"/>
  <c r="E2" i="1"/>
  <c r="F2" i="1"/>
  <c r="D2" i="1"/>
  <c r="B29" i="1"/>
  <c r="E6" i="1"/>
  <c r="F3" i="1"/>
  <c r="D8" i="1"/>
  <c r="C29" i="1"/>
  <c r="B11" i="1"/>
  <c r="C23" i="1" l="1"/>
  <c r="C24" i="1"/>
  <c r="A29" i="1"/>
  <c r="E23" i="1"/>
  <c r="F23" i="1" s="1"/>
  <c r="G23" i="1" s="1"/>
  <c r="F24" i="1"/>
  <c r="F22" i="1"/>
  <c r="B9" i="1"/>
  <c r="D4" i="1" l="1"/>
  <c r="E8" i="1"/>
  <c r="F8" i="1" s="1"/>
  <c r="D7" i="1"/>
  <c r="E7" i="1" s="1"/>
  <c r="F7" i="1" s="1"/>
  <c r="D6" i="1"/>
  <c r="F6" i="1" s="1"/>
  <c r="D5" i="1"/>
  <c r="E5" i="1" s="1"/>
  <c r="F5" i="1" s="1"/>
  <c r="E4" i="1"/>
  <c r="F4" i="1" s="1"/>
  <c r="D3" i="1"/>
  <c r="E3" i="1" s="1"/>
  <c r="G24" i="1"/>
  <c r="G25" i="1" s="1"/>
  <c r="F25" i="1"/>
  <c r="F9" i="1" l="1"/>
</calcChain>
</file>

<file path=xl/sharedStrings.xml><?xml version="1.0" encoding="utf-8"?>
<sst xmlns="http://schemas.openxmlformats.org/spreadsheetml/2006/main" count="47" uniqueCount="47">
  <si>
    <t xml:space="preserve">Наименование плит </t>
  </si>
  <si>
    <t xml:space="preserve">Спрос, м3 </t>
  </si>
  <si>
    <t>Прибыль, руб.</t>
  </si>
  <si>
    <t>Light batts</t>
  </si>
  <si>
    <t xml:space="preserve">Venti batts </t>
  </si>
  <si>
    <t>Cavity batts</t>
  </si>
  <si>
    <t>Roof batts</t>
  </si>
  <si>
    <t xml:space="preserve">Facade batts </t>
  </si>
  <si>
    <t xml:space="preserve">Sandvich batts </t>
  </si>
  <si>
    <t xml:space="preserve">Beton batts </t>
  </si>
  <si>
    <t>Доля (от общего спроса)</t>
  </si>
  <si>
    <t>Резерв (м³)</t>
  </si>
  <si>
    <t>Прибыль от резерва (руб)</t>
  </si>
  <si>
    <t>Вместимость вагона</t>
  </si>
  <si>
    <t xml:space="preserve">Склад шлака </t>
  </si>
  <si>
    <t xml:space="preserve">Коэф выхода </t>
  </si>
  <si>
    <t>Резерв м3</t>
  </si>
  <si>
    <t xml:space="preserve">Цена вагона </t>
  </si>
  <si>
    <t>Цена внеш склада</t>
  </si>
  <si>
    <t>Компонент</t>
  </si>
  <si>
    <t>Доля</t>
  </si>
  <si>
    <t>Кол-во, т (нужно)</t>
  </si>
  <si>
    <t>На складе, т</t>
  </si>
  <si>
    <t>В вагонах, т</t>
  </si>
  <si>
    <t>Вагонов, шт</t>
  </si>
  <si>
    <t>Стоимость хранения, руб</t>
  </si>
  <si>
    <t>Порфирит</t>
  </si>
  <si>
    <t>Шлак</t>
  </si>
  <si>
    <t>Брак/отход</t>
  </si>
  <si>
    <t>Резерв, м³</t>
  </si>
  <si>
    <t>Вместимость склада, м³</t>
  </si>
  <si>
    <t>Внешний склад, м³</t>
  </si>
  <si>
    <t>Стоимость внешнего хранения, руб/мес</t>
  </si>
  <si>
    <t>Вариант</t>
  </si>
  <si>
    <t>Прибыль, руб</t>
  </si>
  <si>
    <t>валовая прибыль − стоимость вагонов − внешний склад</t>
  </si>
  <si>
    <t>Валовая прибыль * 0,7</t>
  </si>
  <si>
    <t>выгоднее покупка — положительная прибыль (~788 тыс. руб), производство + хранение — убыток (~2,15 млн руб).</t>
  </si>
  <si>
    <t>Стоимость хранения готовой продукции на соседнем складе</t>
  </si>
  <si>
    <t>Стоимость хранения сырья в вагонах</t>
  </si>
  <si>
    <t>Если одну линию закрыть на месяц, то в этот месяц останется только одна линия (57000 / 2)</t>
  </si>
  <si>
    <t>Из 100 т сырья полезного продукта получится только:</t>
  </si>
  <si>
    <t>То есть коэффициент выхода = 0,736.</t>
  </si>
  <si>
    <t>Чтобы сделать 28 500 м³ плит, нужно сырья:</t>
  </si>
  <si>
    <t>Склад  профицита</t>
  </si>
  <si>
    <t>Вместимость готовой продукции</t>
  </si>
  <si>
    <t>Собственный склад готовой продукции вмещает 27 000 м³.
А нам нужно хранить 28 500 м³.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</si>
</sst>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₽&quot;"/>
    <numFmt numFmtId="165" formatCode="#,##0.00\ &quot;₽&quot;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Normal="100" workbookViewId="0">
      <selection activeCell="E12" sqref="E12"/>
    </sheetView>
  </sheetViews>
  <sheetFormatPr defaultRowHeight="15" x14ac:dyDescent="0.25"/>
  <cols>
    <col min="1" max="1" width="20.42578125" bestFit="1" customWidth="1"/>
    <col min="2" max="2" width="9.7109375" bestFit="1" customWidth="1"/>
    <col min="3" max="3" width="12.28515625" customWidth="1"/>
    <col min="4" max="4" width="15" customWidth="1"/>
    <col min="5" max="5" width="10" customWidth="1"/>
    <col min="6" max="6" width="18.140625" customWidth="1"/>
    <col min="7" max="7" width="17.28515625" customWidth="1"/>
    <col min="8" max="8" width="19.28515625" customWidth="1"/>
    <col min="10" max="10" width="14.85546875" bestFit="1" customWidth="1"/>
    <col min="13" max="13" width="14.140625" bestFit="1" customWidth="1"/>
  </cols>
  <sheetData>
    <row r="1" spans="1:12" ht="42" customHeight="1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H1" s="2"/>
    </row>
    <row r="2" spans="1:12" x14ac:dyDescent="0.25">
      <c r="A2" s="3" t="s">
        <v>3</v>
      </c>
      <c r="B2" s="4">
        <v>20000</v>
      </c>
      <c r="C2" s="5">
        <v>45</v>
      </c>
      <c r="D2" s="6">
        <f>B2/$B$9</f>
        <v>0.33057851239669422</v>
      </c>
      <c r="E2" s="3">
        <f>$B$11*D2</f>
        <v>9421.4876033057863</v>
      </c>
      <c r="F2" s="7">
        <f>E2*C2</f>
        <v>423966.94214876037</v>
      </c>
    </row>
    <row r="3" spans="1:12" x14ac:dyDescent="0.25">
      <c r="A3" s="3" t="s">
        <v>4</v>
      </c>
      <c r="B3" s="4">
        <v>10000</v>
      </c>
      <c r="C3" s="5">
        <v>35</v>
      </c>
      <c r="D3" s="6">
        <f t="shared" ref="D3:D7" si="0">B3/$B$9</f>
        <v>0.16528925619834711</v>
      </c>
      <c r="E3" s="3">
        <f t="shared" ref="E3:E8" si="1">$B$11*D3</f>
        <v>4710.7438016528931</v>
      </c>
      <c r="F3" s="7">
        <f>E3*C3</f>
        <v>164876.03305785125</v>
      </c>
    </row>
    <row r="4" spans="1:12" x14ac:dyDescent="0.25">
      <c r="A4" s="3" t="s">
        <v>5</v>
      </c>
      <c r="B4" s="4">
        <v>8500</v>
      </c>
      <c r="C4" s="5">
        <v>35</v>
      </c>
      <c r="D4" s="6">
        <f>B4/$B$9</f>
        <v>0.14049586776859505</v>
      </c>
      <c r="E4" s="3">
        <f t="shared" si="1"/>
        <v>4004.1322314049589</v>
      </c>
      <c r="F4" s="7">
        <f t="shared" ref="F4:F8" si="2">E4*C4</f>
        <v>140144.62809917357</v>
      </c>
    </row>
    <row r="5" spans="1:12" x14ac:dyDescent="0.25">
      <c r="A5" s="3" t="s">
        <v>6</v>
      </c>
      <c r="B5" s="4">
        <v>6000</v>
      </c>
      <c r="C5" s="5">
        <v>38</v>
      </c>
      <c r="D5" s="6">
        <f t="shared" si="0"/>
        <v>9.9173553719008267E-2</v>
      </c>
      <c r="E5" s="3">
        <f t="shared" si="1"/>
        <v>2826.4462809917354</v>
      </c>
      <c r="F5" s="7">
        <f t="shared" si="2"/>
        <v>107404.95867768595</v>
      </c>
    </row>
    <row r="6" spans="1:12" x14ac:dyDescent="0.25">
      <c r="A6" s="3" t="s">
        <v>7</v>
      </c>
      <c r="B6" s="4">
        <v>8000</v>
      </c>
      <c r="C6" s="5">
        <v>40</v>
      </c>
      <c r="D6" s="6">
        <f t="shared" si="0"/>
        <v>0.13223140495867769</v>
      </c>
      <c r="E6" s="3">
        <f>$B$11*D6</f>
        <v>3768.595041322314</v>
      </c>
      <c r="F6" s="7">
        <f t="shared" si="2"/>
        <v>150743.80165289255</v>
      </c>
    </row>
    <row r="7" spans="1:12" x14ac:dyDescent="0.25">
      <c r="A7" s="3" t="s">
        <v>8</v>
      </c>
      <c r="B7" s="4">
        <v>3000</v>
      </c>
      <c r="C7" s="5">
        <v>40</v>
      </c>
      <c r="D7" s="6">
        <f t="shared" si="0"/>
        <v>4.9586776859504134E-2</v>
      </c>
      <c r="E7" s="3">
        <f t="shared" si="1"/>
        <v>1413.2231404958677</v>
      </c>
      <c r="F7" s="7">
        <f t="shared" si="2"/>
        <v>56528.925619834707</v>
      </c>
    </row>
    <row r="8" spans="1:12" x14ac:dyDescent="0.25">
      <c r="A8" s="3" t="s">
        <v>9</v>
      </c>
      <c r="B8" s="4">
        <v>5000</v>
      </c>
      <c r="C8" s="5">
        <v>35</v>
      </c>
      <c r="D8" s="6">
        <f>B8/$B$9</f>
        <v>8.2644628099173556E-2</v>
      </c>
      <c r="E8" s="3">
        <f t="shared" si="1"/>
        <v>2355.3719008264466</v>
      </c>
      <c r="F8" s="7">
        <f t="shared" si="2"/>
        <v>82438.016528925626</v>
      </c>
      <c r="I8" s="3" t="s">
        <v>33</v>
      </c>
      <c r="J8" s="3" t="s">
        <v>34</v>
      </c>
    </row>
    <row r="9" spans="1:12" x14ac:dyDescent="0.25">
      <c r="B9" s="4">
        <f>SUM(B2:B8)</f>
        <v>60500</v>
      </c>
      <c r="E9" s="3"/>
      <c r="F9" s="7">
        <f>SUM(F2:F8)</f>
        <v>1126103.3057851242</v>
      </c>
      <c r="I9" s="3">
        <v>1</v>
      </c>
      <c r="J9" s="7">
        <f>F9-G25-D29</f>
        <v>-2151396.6942148758</v>
      </c>
      <c r="L9" t="s">
        <v>35</v>
      </c>
    </row>
    <row r="10" spans="1:12" x14ac:dyDescent="0.25">
      <c r="B10" s="8"/>
      <c r="I10" s="3">
        <v>2</v>
      </c>
      <c r="J10" s="7">
        <f>F9*0.7</f>
        <v>788272.31404958689</v>
      </c>
      <c r="L10" t="s">
        <v>36</v>
      </c>
    </row>
    <row r="11" spans="1:12" x14ac:dyDescent="0.25">
      <c r="A11" s="9" t="s">
        <v>16</v>
      </c>
      <c r="B11" s="4">
        <f>57000/2</f>
        <v>28500</v>
      </c>
      <c r="C11" t="s">
        <v>40</v>
      </c>
      <c r="L11" t="s">
        <v>37</v>
      </c>
    </row>
    <row r="12" spans="1:12" ht="44.45" customHeight="1" x14ac:dyDescent="0.25">
      <c r="A12" s="10" t="s">
        <v>15</v>
      </c>
      <c r="B12" s="4">
        <v>0.73599999999999999</v>
      </c>
      <c r="C12" s="18" t="s">
        <v>41</v>
      </c>
      <c r="D12" s="19"/>
      <c r="E12" s="8">
        <f>100*(1-0.2)*(1-0.08)</f>
        <v>73.600000000000009</v>
      </c>
      <c r="F12" s="2" t="s">
        <v>42</v>
      </c>
      <c r="G12" s="2" t="s">
        <v>43</v>
      </c>
      <c r="H12" s="11">
        <f>28500/(E12/100)</f>
        <v>38722.82608695652</v>
      </c>
    </row>
    <row r="13" spans="1:12" x14ac:dyDescent="0.25">
      <c r="A13" s="10" t="s">
        <v>44</v>
      </c>
      <c r="B13" s="4">
        <v>1500</v>
      </c>
    </row>
    <row r="14" spans="1:12" x14ac:dyDescent="0.25">
      <c r="A14" s="10" t="s">
        <v>14</v>
      </c>
      <c r="B14" s="4">
        <v>1000</v>
      </c>
    </row>
    <row r="15" spans="1:12" x14ac:dyDescent="0.25">
      <c r="A15" s="10" t="s">
        <v>13</v>
      </c>
      <c r="B15" s="4">
        <v>60</v>
      </c>
    </row>
    <row r="16" spans="1:12" x14ac:dyDescent="0.25">
      <c r="A16" s="10" t="s">
        <v>17</v>
      </c>
      <c r="B16" s="4">
        <v>6300</v>
      </c>
    </row>
    <row r="17" spans="1:13" ht="30" x14ac:dyDescent="0.25">
      <c r="A17" s="10" t="s">
        <v>45</v>
      </c>
      <c r="B17" s="4">
        <v>27000</v>
      </c>
    </row>
    <row r="18" spans="1:13" x14ac:dyDescent="0.25">
      <c r="A18" s="10" t="s">
        <v>18</v>
      </c>
      <c r="B18" s="4">
        <v>190</v>
      </c>
    </row>
    <row r="19" spans="1:13" x14ac:dyDescent="0.25">
      <c r="A19" s="12"/>
      <c r="B19" s="8"/>
    </row>
    <row r="20" spans="1:13" ht="21" x14ac:dyDescent="0.35">
      <c r="A20" s="13" t="s">
        <v>39</v>
      </c>
    </row>
    <row r="21" spans="1:13" ht="42.6" customHeight="1" x14ac:dyDescent="0.25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</row>
    <row r="22" spans="1:13" ht="18.75" x14ac:dyDescent="0.25">
      <c r="A22" s="3" t="s">
        <v>26</v>
      </c>
      <c r="B22" s="3">
        <v>0.5</v>
      </c>
      <c r="C22" s="6">
        <f>$H$12*B22</f>
        <v>19361.41304347826</v>
      </c>
      <c r="D22" s="3">
        <v>1500</v>
      </c>
      <c r="E22" s="6">
        <f>MAX(0,C22-D22)</f>
        <v>17861.41304347826</v>
      </c>
      <c r="F22" s="3">
        <f>ROUNDUP(E22/$B$15,0)</f>
        <v>298</v>
      </c>
      <c r="G22" s="7">
        <f>F22*$B$16</f>
        <v>1877400</v>
      </c>
      <c r="I22" s="14"/>
      <c r="M22" s="15"/>
    </row>
    <row r="23" spans="1:13" x14ac:dyDescent="0.25">
      <c r="A23" s="3" t="s">
        <v>27</v>
      </c>
      <c r="B23" s="3">
        <v>0.3</v>
      </c>
      <c r="C23" s="6">
        <f t="shared" ref="C23:C24" si="3">$H$12*B23</f>
        <v>11616.847826086956</v>
      </c>
      <c r="D23" s="3">
        <v>1000</v>
      </c>
      <c r="E23" s="3">
        <f t="shared" ref="E23" si="4">MAX(0,C23-D23)</f>
        <v>10616.847826086956</v>
      </c>
      <c r="F23" s="3">
        <f t="shared" ref="F23:F24" si="5">ROUNDUP(E23/$B$15,0)</f>
        <v>177</v>
      </c>
      <c r="G23" s="7">
        <f>F23*$B$16</f>
        <v>1115100</v>
      </c>
    </row>
    <row r="24" spans="1:13" x14ac:dyDescent="0.25">
      <c r="A24" s="3" t="s">
        <v>28</v>
      </c>
      <c r="B24" s="3">
        <v>0.2</v>
      </c>
      <c r="C24" s="6">
        <f t="shared" si="3"/>
        <v>7744.565217391304</v>
      </c>
      <c r="D24" s="3">
        <v>0</v>
      </c>
      <c r="E24" s="3">
        <v>0</v>
      </c>
      <c r="F24" s="3">
        <f t="shared" si="5"/>
        <v>0</v>
      </c>
      <c r="G24" s="7">
        <f>F24*$B$16</f>
        <v>0</v>
      </c>
    </row>
    <row r="25" spans="1:13" x14ac:dyDescent="0.25">
      <c r="F25" s="3">
        <f>SUM(F22:F24)</f>
        <v>475</v>
      </c>
      <c r="G25" s="7">
        <f>SUM(G22:G24)</f>
        <v>2992500</v>
      </c>
    </row>
    <row r="26" spans="1:13" ht="21" x14ac:dyDescent="0.35">
      <c r="A26" s="13" t="s">
        <v>38</v>
      </c>
      <c r="G26" s="16"/>
      <c r="M26" s="16"/>
    </row>
    <row r="27" spans="1:13" ht="15.75" x14ac:dyDescent="0.25">
      <c r="A27" s="17" t="s">
        <v>46</v>
      </c>
      <c r="G27" s="16"/>
      <c r="M27" s="16"/>
    </row>
    <row r="28" spans="1:13" ht="57" customHeight="1" x14ac:dyDescent="0.25">
      <c r="A28" s="1" t="s">
        <v>29</v>
      </c>
      <c r="B28" s="1" t="s">
        <v>30</v>
      </c>
      <c r="C28" s="1" t="s">
        <v>31</v>
      </c>
      <c r="D28" s="1" t="s">
        <v>32</v>
      </c>
      <c r="M28" s="16"/>
    </row>
    <row r="29" spans="1:13" x14ac:dyDescent="0.25">
      <c r="A29" s="3">
        <f>$B$11</f>
        <v>28500</v>
      </c>
      <c r="B29" s="3">
        <f>$B$17</f>
        <v>27000</v>
      </c>
      <c r="C29" s="3">
        <f>MAX(0,A29-B29)</f>
        <v>1500</v>
      </c>
      <c r="D29" s="7">
        <f>C29*$B$18</f>
        <v>285000</v>
      </c>
    </row>
    <row r="30" spans="1:13" ht="18.75" x14ac:dyDescent="0.25">
      <c r="I30" s="14"/>
    </row>
    <row r="32" spans="1:13" ht="18.75" x14ac:dyDescent="0.25">
      <c r="I32" s="14"/>
    </row>
  </sheetData>
  <mergeCells count="1"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Мелконян Кристина</dc:creator>
  <cp:lastModifiedBy>Алим Саидахмедов</cp:lastModifiedBy>
  <dcterms:created xsi:type="dcterms:W3CDTF">2015-06-05T18:19:34Z</dcterms:created>
  <dcterms:modified xsi:type="dcterms:W3CDTF">2025-10-20T09:15:51Z</dcterms:modified>
</cp:coreProperties>
</file>